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36" documentId="8_{F59E83B2-0F2A-4C11-9B64-2952A67589FA}" xr6:coauthVersionLast="47" xr6:coauthVersionMax="47" xr10:uidLastSave="{8DB80590-E9E0-4BDD-A42F-E5E51C163FA4}"/>
  <bookViews>
    <workbookView xWindow="-120" yWindow="-12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Updated'!$A$1:$AA$102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</calcChain>
</file>

<file path=xl/sharedStrings.xml><?xml version="1.0" encoding="utf-8"?>
<sst xmlns="http://schemas.openxmlformats.org/spreadsheetml/2006/main" count="4583" uniqueCount="945">
  <si>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</si>
  <si>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</si>
  <si>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</si>
  <si>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</si>
  <si>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</si>
  <si>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</si>
  <si>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</si>
  <si>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</si>
  <si>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</si>
  <si>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</si>
  <si>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</si>
  <si>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</si>
  <si>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</si>
  <si>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</si>
  <si>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</si>
  <si>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</si>
  <si>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</si>
  <si>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</si>
  <si>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</si>
  <si>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</si>
  <si>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</si>
  <si>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</si>
  <si>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</si>
  <si>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</si>
  <si>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</si>
  <si>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</si>
  <si>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</si>
  <si>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</si>
  <si>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</si>
  <si>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</si>
  <si>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</si>
  <si>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</si>
  <si>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</si>
  <si>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</si>
  <si>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</si>
  <si>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</si>
  <si>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</si>
  <si>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</si>
  <si>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</si>
  <si>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</si>
  <si>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</si>
  <si>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</si>
  <si>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</si>
  <si>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</si>
  <si>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</si>
  <si>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</si>
  <si>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</si>
  <si>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</si>
  <si>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</si>
  <si>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</si>
  <si>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</si>
  <si>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</si>
  <si>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</si>
  <si>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</si>
  <si>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</si>
  <si>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</si>
  <si>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</si>
  <si>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</si>
  <si>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</si>
  <si>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</si>
  <si>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</si>
  <si>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</si>
  <si>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</si>
  <si>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</si>
  <si>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</si>
  <si>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</si>
  <si>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</si>
  <si>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</si>
  <si>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</si>
  <si>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</si>
  <si>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</si>
  <si>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</si>
  <si>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</si>
  <si>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</si>
  <si>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</si>
  <si>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</si>
  <si>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</si>
  <si>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</si>
  <si>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</si>
  <si>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</si>
  <si>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</si>
  <si>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</si>
  <si>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</si>
  <si>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Blue Bay - Full circle Labour Camp - 15/05/2024)</t>
  </si>
  <si>
    <t>Siva V</t>
  </si>
  <si>
    <t>AMC11136</t>
  </si>
  <si>
    <t>5/14/2027</t>
  </si>
  <si>
    <t>Single villa</t>
  </si>
  <si>
    <t>Commercial building</t>
  </si>
  <si>
    <t>O'General</t>
  </si>
  <si>
    <t>3/31/2026</t>
  </si>
  <si>
    <t>Healthcare</t>
  </si>
  <si>
    <t>9/30/2027</t>
  </si>
  <si>
    <t>1st PPM done</t>
  </si>
  <si>
    <t>PPM;Labor;Computer insp.</t>
  </si>
  <si>
    <t>Retails &amp; shops</t>
  </si>
  <si>
    <t>VRF;DX;AHU</t>
  </si>
  <si>
    <t>PPMs completed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</si>
  <si>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</si>
  <si>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</si>
  <si>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</si>
  <si>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</si>
  <si>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</si>
  <si>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</si>
  <si>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</si>
  <si>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</si>
  <si>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</si>
  <si>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</si>
  <si>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</si>
  <si>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</si>
  <si>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</si>
  <si>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</si>
  <si>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</si>
  <si>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</si>
  <si>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</si>
  <si>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</si>
  <si>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</si>
  <si>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</si>
  <si>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</si>
  <si>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</si>
  <si>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</si>
  <si>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</si>
  <si>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</si>
  <si>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</si>
  <si>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</si>
  <si>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</si>
  <si>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</si>
  <si>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</si>
  <si>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</si>
  <si>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</si>
  <si>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</si>
  <si>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</si>
  <si>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</si>
  <si>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</si>
  <si>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</si>
  <si>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</si>
  <si>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</si>
  <si>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</si>
  <si>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</si>
  <si>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</si>
  <si>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</si>
  <si>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</si>
  <si>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</si>
  <si>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</si>
  <si>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</si>
  <si>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</si>
  <si>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</si>
  <si>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</si>
  <si>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</si>
  <si>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</si>
  <si>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</si>
  <si>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</si>
  <si>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</si>
  <si>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DAEP - 01/10/2025</t>
  </si>
  <si>
    <t>AMC11475</t>
  </si>
  <si>
    <t>Aroma camp C2 - 07/11/2025</t>
  </si>
  <si>
    <t>AMC11474</t>
  </si>
  <si>
    <t>AMC11506</t>
  </si>
  <si>
    <t>AMC11505</t>
  </si>
  <si>
    <t>Butterfly Building - 01/01/2026</t>
  </si>
  <si>
    <t>AMC11513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</si>
  <si>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</si>
  <si>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</si>
  <si>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</si>
  <si>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</si>
  <si>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</si>
  <si>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</si>
  <si>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</si>
  <si>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</si>
  <si>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</si>
  <si>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</si>
  <si>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</si>
  <si>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</si>
  <si>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</si>
  <si>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</si>
  <si>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</si>
  <si>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</si>
  <si>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</si>
  <si>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</si>
  <si>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</si>
  <si>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</si>
  <si>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</si>
  <si>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</si>
  <si>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</si>
  <si>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</si>
  <si>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</si>
  <si>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</si>
  <si>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</si>
  <si>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</si>
  <si>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</si>
  <si>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</si>
  <si>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</si>
  <si>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</si>
  <si>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</si>
  <si>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</si>
  <si>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</si>
  <si>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</si>
  <si>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</si>
  <si>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</si>
  <si>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</si>
  <si>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</si>
  <si>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</si>
  <si>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</si>
  <si>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</si>
  <si>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</si>
  <si>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Samim</t>
  </si>
  <si>
    <t>abhimanue</t>
  </si>
  <si>
    <t>jawgat</t>
  </si>
  <si>
    <t>Ranjit Biswarma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</si>
  <si>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</si>
  <si>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</si>
  <si>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</si>
  <si>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</si>
  <si>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</si>
  <si>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</si>
  <si>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</si>
  <si>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</si>
  <si>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</si>
  <si>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</si>
  <si>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</si>
  <si>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</si>
  <si>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</si>
  <si>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</si>
  <si>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</si>
  <si>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</si>
  <si>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</si>
  <si>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</si>
  <si>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</si>
  <si>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</si>
  <si>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</si>
  <si>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</si>
  <si>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</si>
  <si>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</si>
  <si>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</si>
  <si>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</si>
  <si>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</si>
  <si>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</si>
  <si>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</si>
  <si>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</si>
  <si>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</si>
  <si>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</si>
  <si>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</si>
  <si>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</si>
  <si>
    <t>VRF;AHU;DX</t>
  </si>
  <si>
    <t>56 221 8946</t>
  </si>
  <si>
    <t>Ranjit Biswakarma</t>
  </si>
  <si>
    <t>Landmark tower - 27/05/2024)</t>
  </si>
  <si>
    <t>Box Park - 01/01/2024)</t>
  </si>
  <si>
    <t>NMC Royal Medical - 01/04/2024)</t>
  </si>
  <si>
    <t>Surf Ranch - marsana, hudayriyat island-05/10/2024</t>
  </si>
  <si>
    <t>321 Sports Complex - Hudayriyat Island - 18/12/2024</t>
  </si>
  <si>
    <t>Mr. Eyad Elnimer Villa- 24/03/2025</t>
  </si>
  <si>
    <t>Malhotra Villa H52- 19/03/2025</t>
  </si>
  <si>
    <t>Emirates Hills Villa HT13 - 19/03/2025</t>
  </si>
  <si>
    <t>Mr. Janno Swiegers Villa- 05/04/2025</t>
  </si>
  <si>
    <t>Mr. Rafael Bastardo Villa- 09/04/2025</t>
  </si>
  <si>
    <t>Sykon Camp Jabel Ali - 21/05/2025</t>
  </si>
  <si>
    <t>Mr. Ayham Ouayr Villa- 10/04/2025</t>
  </si>
  <si>
    <t>Al Junaibi Camp - 10/04/2025</t>
  </si>
  <si>
    <t>Hazem Nabih Villa Meadows 8 street 1 Villa 6.- 13/04/2025</t>
  </si>
  <si>
    <t>Mr. Ansar Sulaiman Villa- 12/04/2025</t>
  </si>
  <si>
    <t>Hudayriyat Marsana Complex - 01/04/2025</t>
  </si>
  <si>
    <t>Mr. Feras Dadis - 26/04/2025</t>
  </si>
  <si>
    <t>Mahmood Jassim - 25/04/2025</t>
  </si>
  <si>
    <t>Mr. Hesham Ghaleb Villa- 28/04/2025</t>
  </si>
  <si>
    <t>Mr. Ata shobeiry Villa- 01/05/2025</t>
  </si>
  <si>
    <t>Mr. Khaled Metwally Villa- murooj TH455-30/04/2025</t>
  </si>
  <si>
    <t>Mr. Parth Joshi Villa- 01/05/2025</t>
  </si>
  <si>
    <t>Mr. Mr.Abderraouf Lakhal Villa- 01/05/2025</t>
  </si>
  <si>
    <t>Dr. Thani Almheiri Villa- 09/05/2025</t>
  </si>
  <si>
    <t>Jawahar Villa 55 -saadiyat island- 01/05/2025</t>
  </si>
  <si>
    <t>Mr. Jose Mayo Villa 188 Murooj- 17/05/2025</t>
  </si>
  <si>
    <t>Ms. Thibault Garcia Villa 683 MBR City- 17/05/2025</t>
  </si>
  <si>
    <t>Mr. Jayant Sharma - V846 JOY AR3- 15/05/2025</t>
  </si>
  <si>
    <t>Mr. Adeel Azmat Villa 146 Murooj- 19/05/2025</t>
  </si>
  <si>
    <t>RAK College Of Dental Science - 19/05/2025</t>
  </si>
  <si>
    <t>Ms. Ilham El Ktiri Villa 134 Parkways- 20/05/2025</t>
  </si>
  <si>
    <t>Ms. Mamta Jindal S2 V352- 22/05/2025</t>
  </si>
  <si>
    <t>Dhruv Global School Dubai-22/05/2025</t>
  </si>
  <si>
    <t>AWQAF Mosques PK 03 Al Ain-A5043&amp;5036 Zone 6 - 01/06/2025</t>
  </si>
  <si>
    <t>Mr. Mohamed Al Jefri Murooj V69- 31/05/2025</t>
  </si>
  <si>
    <t>Alia-Villa 25, Saadiyat Villa community- 05/06/2025</t>
  </si>
  <si>
    <t>Gleb Sergeev TH111, Murooj- 31/05/2025</t>
  </si>
  <si>
    <t>Hidd Villa 7 - 01/05/2025</t>
  </si>
  <si>
    <t>Mr. Wajdi Elhakim Murooj V199- 10/06/2025</t>
  </si>
  <si>
    <t>Mr. John Britton Th107 Murooj- 09/06/2025</t>
  </si>
  <si>
    <t>Ms. Marina Zinchenko Murooj V211- 11/06/2025</t>
  </si>
  <si>
    <t>Mr. Robert Varty V164 Murooj- 14/06/2025</t>
  </si>
  <si>
    <t>Mr. Khalil, Sidra 1 Villa 219- 13/05/2025</t>
  </si>
  <si>
    <t>Ms. Darshana Bhuptani Murooj Th433- 23/06/2025</t>
  </si>
  <si>
    <t>RAKEZ Buildings - 01/07/2025</t>
  </si>
  <si>
    <t>Mr. Nabil Elie Nasr Mag Eye TH09-23- 23/06/2025</t>
  </si>
  <si>
    <t>Mr. Shyam Sundar Murooj V610- 13/06/2025</t>
  </si>
  <si>
    <t>Mr. Patrick Smiths-Golf Grove Villa 44- 05/06/2025</t>
  </si>
  <si>
    <t>Mr. Ahmed Elshafei Murooj V96- 23/06/2025</t>
  </si>
  <si>
    <t>Ms. Elizabeth Millership V146-Parkside3- 15/07/2025</t>
  </si>
  <si>
    <t>Al Dana Villas - Mirdiff - 12/07/2025</t>
  </si>
  <si>
    <t>DH Building - 01/08/2025</t>
  </si>
  <si>
    <t>**Mr. David Classen Sidra 2 V176- 05/07/2025</t>
  </si>
  <si>
    <t>Xstrike and Wohoo Center , 164 al quoz - 18/07/2025</t>
  </si>
  <si>
    <t>**Ms. Samia Ali V139 Emaar South- 21/07/2025</t>
  </si>
  <si>
    <t>Ms. Swati Rawat V296 Souq al Jubail- 21/07/2025</t>
  </si>
  <si>
    <t>***Ms. Deepa Khanna Murooj TH466- 28/07/2025</t>
  </si>
  <si>
    <t>Mr Mohsin villas - 12/07/2025</t>
  </si>
  <si>
    <t>Tarmeem clinic- 23/05/2025</t>
  </si>
  <si>
    <t>Mai Dubai HQ - 01/01/2026</t>
  </si>
  <si>
    <t>Legacy by sunrise - 01/01/2026</t>
  </si>
  <si>
    <t>Jotun accomodation - Farnek - 01/04/2026</t>
  </si>
  <si>
    <t>Ms. Patricia Sidra 1 Villa 347- 12/03/2026</t>
  </si>
  <si>
    <t>Erth Abudhabi - 05/02/2026</t>
  </si>
  <si>
    <t>Elite School AD - 09/12/2025</t>
  </si>
  <si>
    <t>Joyce Ann</t>
  </si>
  <si>
    <t>AMC11187</t>
  </si>
  <si>
    <t>AMC11167</t>
  </si>
  <si>
    <t>AMC11169</t>
  </si>
  <si>
    <t>AMC11278</t>
  </si>
  <si>
    <t>AMC11256</t>
  </si>
  <si>
    <t>AMC11300</t>
  </si>
  <si>
    <t>AMC11290</t>
  </si>
  <si>
    <t>AMC11311</t>
  </si>
  <si>
    <t>AMC11302</t>
  </si>
  <si>
    <t>AMC11304</t>
  </si>
  <si>
    <t>AMC11308</t>
  </si>
  <si>
    <t>AMC11305</t>
  </si>
  <si>
    <t>AMC11307</t>
  </si>
  <si>
    <t>AMC11310</t>
  </si>
  <si>
    <t>AMC11309</t>
  </si>
  <si>
    <t>AMC11313</t>
  </si>
  <si>
    <t>AMC11319</t>
  </si>
  <si>
    <t>AMC11317</t>
  </si>
  <si>
    <t>AMC11321</t>
  </si>
  <si>
    <t>AMC11324</t>
  </si>
  <si>
    <t>AMC11326</t>
  </si>
  <si>
    <t>AMC11323</t>
  </si>
  <si>
    <t>AMC11322</t>
  </si>
  <si>
    <t>AMC11325</t>
  </si>
  <si>
    <t>AMC11327</t>
  </si>
  <si>
    <t>AMC11332</t>
  </si>
  <si>
    <t>AMC11331</t>
  </si>
  <si>
    <t>AMC11330</t>
  </si>
  <si>
    <t>amc11333</t>
  </si>
  <si>
    <t>AMC11336</t>
  </si>
  <si>
    <t>AMC11335</t>
  </si>
  <si>
    <t>AMC11337</t>
  </si>
  <si>
    <t>AMC11341</t>
  </si>
  <si>
    <t>AMC11342</t>
  </si>
  <si>
    <t>AMC11347</t>
  </si>
  <si>
    <t>AMC11348</t>
  </si>
  <si>
    <t>AMC11346</t>
  </si>
  <si>
    <t>AMC11340</t>
  </si>
  <si>
    <t>AMC11350</t>
  </si>
  <si>
    <t>AMC11351</t>
  </si>
  <si>
    <t>AMC11353</t>
  </si>
  <si>
    <t>AMC11354</t>
  </si>
  <si>
    <t>AMC11355</t>
  </si>
  <si>
    <t>AMC11361</t>
  </si>
  <si>
    <t>AMC11356</t>
  </si>
  <si>
    <t>AMC11358</t>
  </si>
  <si>
    <t>AMC11366</t>
  </si>
  <si>
    <t>AMC11357</t>
  </si>
  <si>
    <t>AMC11369</t>
  </si>
  <si>
    <t>AMC11372</t>
  </si>
  <si>
    <t>AMC11374</t>
  </si>
  <si>
    <t>AMC11371</t>
  </si>
  <si>
    <t>AMC11375</t>
  </si>
  <si>
    <t>AMC11376</t>
  </si>
  <si>
    <t>AMC11377</t>
  </si>
  <si>
    <t>AMC11388</t>
  </si>
  <si>
    <t>AMC11339</t>
  </si>
  <si>
    <t>1/31/2028</t>
  </si>
  <si>
    <t>3/23/2026</t>
  </si>
  <si>
    <t>3/18/2026</t>
  </si>
  <si>
    <t>3/31/2028</t>
  </si>
  <si>
    <t>5/20/2026</t>
  </si>
  <si>
    <t>4/16/2026</t>
  </si>
  <si>
    <t>4/25/2026</t>
  </si>
  <si>
    <t>4/24/2026</t>
  </si>
  <si>
    <t>4/27/2026</t>
  </si>
  <si>
    <t>4/30/2026</t>
  </si>
  <si>
    <t>4/29/2026</t>
  </si>
  <si>
    <t>5/18/2026</t>
  </si>
  <si>
    <t>5/16/2026</t>
  </si>
  <si>
    <t>5/14/2026</t>
  </si>
  <si>
    <t>5/19/2026</t>
  </si>
  <si>
    <t>5/21/2026</t>
  </si>
  <si>
    <t>5/22/2026</t>
  </si>
  <si>
    <t>5/31/2026</t>
  </si>
  <si>
    <t>5/30/2026</t>
  </si>
  <si>
    <t>6/13/2026</t>
  </si>
  <si>
    <t>6/22/2026</t>
  </si>
  <si>
    <t>6/27/2026</t>
  </si>
  <si>
    <t>6/24/2026</t>
  </si>
  <si>
    <t>6/30/2026</t>
  </si>
  <si>
    <t>7/14/2026</t>
  </si>
  <si>
    <t>7/18/2026</t>
  </si>
  <si>
    <t>7/20/2026</t>
  </si>
  <si>
    <t>7/21/2026</t>
  </si>
  <si>
    <t>7/27/2026</t>
  </si>
  <si>
    <t>7/28/2026</t>
  </si>
  <si>
    <t>7/23/2026</t>
  </si>
  <si>
    <t>7/22/2026</t>
  </si>
  <si>
    <t>3rd PPM ongoing</t>
  </si>
  <si>
    <t>4th PPM ongoing</t>
  </si>
  <si>
    <t>2nd PPM ongoing</t>
  </si>
  <si>
    <t>New AMC</t>
  </si>
  <si>
    <t>York</t>
  </si>
  <si>
    <t>Carrier</t>
  </si>
  <si>
    <t>Daikin</t>
  </si>
  <si>
    <t>Midea</t>
  </si>
  <si>
    <t>RAC</t>
  </si>
  <si>
    <t>VRF;Chiller</t>
  </si>
  <si>
    <t>AHU;VRF</t>
  </si>
  <si>
    <t>VRF;DX</t>
  </si>
  <si>
    <t>DX;AHU</t>
  </si>
  <si>
    <t>DX;VRF;AHU</t>
  </si>
  <si>
    <t>DX;AHU;VRF</t>
  </si>
  <si>
    <t>AHU;VRF;Packaged</t>
  </si>
  <si>
    <t>Seih Al Salam - 01/03/2026</t>
  </si>
  <si>
    <t>AMC11564</t>
  </si>
  <si>
    <t>Al sultan building, Al quisais - 01/08/2024)</t>
  </si>
  <si>
    <t>AMC11158</t>
  </si>
  <si>
    <t>7/31/2025</t>
  </si>
  <si>
    <t>Accuro Labour camp - 31/03/2024)</t>
  </si>
  <si>
    <t>AMC11200</t>
  </si>
  <si>
    <t>3/31/2025</t>
  </si>
  <si>
    <t>Mudon Views - 01/01/2024)</t>
  </si>
  <si>
    <t>AMC11202</t>
  </si>
  <si>
    <t>Hudayriyat Marsana AMC 6 Months - 26/10/2023)</t>
  </si>
  <si>
    <t>Mr. george Makhoul- 13/04/2024</t>
  </si>
  <si>
    <t>AMC11201</t>
  </si>
  <si>
    <t>4/13/2026</t>
  </si>
  <si>
    <t>Toufiq Hobeika-Sidra-1-V-204- 03/09/2024</t>
  </si>
  <si>
    <t>AMC11174</t>
  </si>
  <si>
    <t>Al Mezania Building - 18/01/2025</t>
  </si>
  <si>
    <t>AMC11234</t>
  </si>
  <si>
    <t>1/17/2026</t>
  </si>
  <si>
    <t>Jumeirah Bay LV08- 20/01/2025</t>
  </si>
  <si>
    <t>AMC11240</t>
  </si>
  <si>
    <t>1/19/2026</t>
  </si>
  <si>
    <t>Saleh Bin Lahej - Al Majan - 15/02/2025</t>
  </si>
  <si>
    <t>AMC11261</t>
  </si>
  <si>
    <t>2/14/2026</t>
  </si>
  <si>
    <t>Day To Day Store - al Mesania Building,al nahda - 01/02/2025</t>
  </si>
  <si>
    <t>AMC11266</t>
  </si>
  <si>
    <t>1/31/2026</t>
  </si>
  <si>
    <t>Aroma camp C5 - 15/02/2025</t>
  </si>
  <si>
    <t>AMC11271</t>
  </si>
  <si>
    <t>2/15/2026</t>
  </si>
  <si>
    <t>Red castle Hotel -sharjah- 01/04/2025</t>
  </si>
  <si>
    <t>AMC11288</t>
  </si>
  <si>
    <t>Ms. Patricia Sidra 1 Villa 347- 10/03/2025</t>
  </si>
  <si>
    <t>AMC11289</t>
  </si>
  <si>
    <t>Moha Alkindi's villa shakhabout city- 25/02/2025</t>
  </si>
  <si>
    <t>AMC11282</t>
  </si>
  <si>
    <t>2/24/2026</t>
  </si>
  <si>
    <t>Suhail Tower - 08/04/2025</t>
  </si>
  <si>
    <t>AMC11306</t>
  </si>
  <si>
    <t>Bayt Al khair society Al warqa - 01/01/2025)</t>
  </si>
  <si>
    <t>Abbas S</t>
  </si>
  <si>
    <t>AMC11315</t>
  </si>
  <si>
    <t>Mr. Amr Elshamy Villa- 26/03/2025</t>
  </si>
  <si>
    <t>AMC11296</t>
  </si>
  <si>
    <t>3/25/2026</t>
  </si>
  <si>
    <t>Flex Labor Camp - 01/04/2025</t>
  </si>
  <si>
    <t>AMC11301</t>
  </si>
  <si>
    <t>Mr. Tamer Bishay Villa- 26/03/2025</t>
  </si>
  <si>
    <t>AMC11297</t>
  </si>
  <si>
    <t>DHP Residency DSO - 10/03/2025</t>
  </si>
  <si>
    <t>AMC11312</t>
  </si>
  <si>
    <t>Unimetal - Kizad - 16/04/2025</t>
  </si>
  <si>
    <t>Mr. Moataz Molhem- 26/04/2025</t>
  </si>
  <si>
    <t>NAS Fitness Club- 23/04/2025</t>
  </si>
  <si>
    <t>AMC11318</t>
  </si>
  <si>
    <t>4/22/2026</t>
  </si>
  <si>
    <t>Dr. Nutrition HQ DSO - 08/07/2025</t>
  </si>
  <si>
    <t>AMC11368</t>
  </si>
  <si>
    <t>***Ms. Namrata Kaul Murooj TH332- 31/07/2025</t>
  </si>
  <si>
    <t>AMC11389</t>
  </si>
  <si>
    <t>7/30/2026</t>
  </si>
  <si>
    <t>***Saeed Mohamed-Sidra 2-V-155- 29/08/2025</t>
  </si>
  <si>
    <t>AMC11393</t>
  </si>
  <si>
    <t>8/28/2026</t>
  </si>
  <si>
    <t>***Mr. Nitin Sharma Murooj TH399- 02/08/2025</t>
  </si>
  <si>
    <t>AMC11428</t>
  </si>
  <si>
    <t>***Mr. Conrad Lee Murooj V200- 06/08/2025</t>
  </si>
  <si>
    <t>AMC11392</t>
  </si>
  <si>
    <t>Hala Equipment Trading LLC, DIC - 01/08/2025</t>
  </si>
  <si>
    <t>AMC11390</t>
  </si>
  <si>
    <t>***Mr. Yagna Prathap Chandra Sekaran Murooj V616- 09/08/2025</t>
  </si>
  <si>
    <t>AMC11391</t>
  </si>
  <si>
    <t>2XL Showroom Al barsha - 29/07/2024</t>
  </si>
  <si>
    <t>AMC11394</t>
  </si>
  <si>
    <t>7/29/2026</t>
  </si>
  <si>
    <t>***Mr. Vinay Nair Murooj V613- 12/08/2025</t>
  </si>
  <si>
    <t>AMC11395</t>
  </si>
  <si>
    <t>Mr. Shahid Iqbal Murooj V568- 18/08/2025</t>
  </si>
  <si>
    <t>AMC11398</t>
  </si>
  <si>
    <t>8/17/2026</t>
  </si>
  <si>
    <t>Mr. Tarandeep Singh V605- 18/08/2025</t>
  </si>
  <si>
    <t>AMC11397</t>
  </si>
  <si>
    <t>Al Ain - FSFM Ladies Accommodation - 03/08/2025</t>
  </si>
  <si>
    <t>AMC11396</t>
  </si>
  <si>
    <t>Abu Dhabi School of Management Building - 14/08/2025</t>
  </si>
  <si>
    <t>AMC11399</t>
  </si>
  <si>
    <t>8/14/2026</t>
  </si>
  <si>
    <t>Mr. Jim Donaldson Murooj TH434- 19/08/2025</t>
  </si>
  <si>
    <t>AMC11400</t>
  </si>
  <si>
    <t>8/18/2026</t>
  </si>
  <si>
    <t>Rawdah Building - Abu Dhabi - 01/09/2025</t>
  </si>
  <si>
    <t>AMC11402</t>
  </si>
  <si>
    <t>8/31/2026</t>
  </si>
  <si>
    <t>Fozia Dirieh-Sidra-2-Villa-26- 22/08/2025</t>
  </si>
  <si>
    <t>AMC11405</t>
  </si>
  <si>
    <t>8/21/2026</t>
  </si>
  <si>
    <t>Mr. Anand Nair Murooj V481- 22/08/2025</t>
  </si>
  <si>
    <t>AMC11403</t>
  </si>
  <si>
    <t>Fawad Hasan Murooj Th355- 22/08/2025</t>
  </si>
  <si>
    <t>AMC11404</t>
  </si>
  <si>
    <t>Mr. Ali Zahid Murooj Th272- 29/08/2025</t>
  </si>
  <si>
    <t>AMC11415</t>
  </si>
  <si>
    <t>Mr. Marcin Arabian Ranches 2, Camelia 2, Villa 21- 10/09/2025</t>
  </si>
  <si>
    <t>AMC11406</t>
  </si>
  <si>
    <t>Mr. Vivek Mistry Murooj V474- 26/08/2025</t>
  </si>
  <si>
    <t>AMC11407</t>
  </si>
  <si>
    <t>8/25/2026</t>
  </si>
  <si>
    <t>Sriniwas Nandiraju Golf Grove 151- 02/09/2025</t>
  </si>
  <si>
    <t>AMC11408</t>
  </si>
  <si>
    <t>Mr. Roman Maydanyuk Murooj Th312- 01/09/2025</t>
  </si>
  <si>
    <t>AMC11412</t>
  </si>
  <si>
    <t>Muhammad Asrar-V 251, Camellia-1, Arabian Ranches II,- 02/09/2025</t>
  </si>
  <si>
    <t>AMC11410</t>
  </si>
  <si>
    <t>Mr. Luis Pinho de Aguiar Murooj Th324-29/08/2025</t>
  </si>
  <si>
    <t>AMC11414</t>
  </si>
  <si>
    <t>Mr. Steve Allison Murooj V86- 26/08/2025</t>
  </si>
  <si>
    <t>AMC11409</t>
  </si>
  <si>
    <t>Mr. Ali Keilani Murooj Th297- 26/08/2025</t>
  </si>
  <si>
    <t>AMC11411</t>
  </si>
  <si>
    <t>Bait Al khair Society - Al Warqa-01/09/2025</t>
  </si>
  <si>
    <t>AMC11424</t>
  </si>
  <si>
    <t>Bunnys ECC - 01/09/2025</t>
  </si>
  <si>
    <t>AMC11418</t>
  </si>
  <si>
    <t>Mr. Enver Caliskan Murooj Th301-01/09/2025</t>
  </si>
  <si>
    <t>AMC11419</t>
  </si>
  <si>
    <t>Antoine-Fairway-Villa-18- 01/09/2025</t>
  </si>
  <si>
    <t>AMC11417</t>
  </si>
  <si>
    <t>Mr. Carlos Stalenhoef Jubail V205- 28/08/2025</t>
  </si>
  <si>
    <t>AMC11413</t>
  </si>
  <si>
    <t>8/27/2026</t>
  </si>
  <si>
    <t>Mr. Loay Mulla Sidra 2 V317- 07/10/2025</t>
  </si>
  <si>
    <t>AMC11421</t>
  </si>
  <si>
    <t>Toufiq Hobeika-Sidra-1-V-204- 02/09/2025</t>
  </si>
  <si>
    <t>AMC11420</t>
  </si>
  <si>
    <t>Ms. Saliha Ahmed Murooj V142- 03/09/2025</t>
  </si>
  <si>
    <t>AMC11423</t>
  </si>
  <si>
    <t>The Nice Guy Restaurant - JLT - 26/08/2025</t>
  </si>
  <si>
    <t>AMC11416</t>
  </si>
  <si>
    <t>Mr. Ahzam Javed V544 Murooj- 03/09/2025</t>
  </si>
  <si>
    <t>AMC11422</t>
  </si>
  <si>
    <t>BAKS Al Warqa Building - 01/09/2025</t>
  </si>
  <si>
    <t>duplicate</t>
  </si>
  <si>
    <t>Ms. Swati Rawat V167 Nad al Dhabi Jubail- 06/09/2025</t>
  </si>
  <si>
    <t>AMC11425</t>
  </si>
  <si>
    <t>ADQCC Masdar city - 01/08/2025</t>
  </si>
  <si>
    <t>AMC11430</t>
  </si>
  <si>
    <t>Kanagasabhai-AR3-Springs-3-91- 13/09/2024</t>
  </si>
  <si>
    <t>AMC11426</t>
  </si>
  <si>
    <t>Mr. Joby Matthews Murooj V495- 17/09/2025</t>
  </si>
  <si>
    <t>AMC11432</t>
  </si>
  <si>
    <t>9/16/2026</t>
  </si>
  <si>
    <t>Mr. Pramod Shankar Murooj V436- 12/09/2025</t>
  </si>
  <si>
    <t>AMC11427</t>
  </si>
  <si>
    <t>Mr. Duaan Rajput Murooj V250- 30/09/2025</t>
  </si>
  <si>
    <t>AMC11431</t>
  </si>
  <si>
    <t>Turgut-AR-2-C1-Villa-15- 12/09/2025</t>
  </si>
  <si>
    <t>AMC11429</t>
  </si>
  <si>
    <t>Ms. Mariam Shahid AR3 Joy 531- 29/09/2025</t>
  </si>
  <si>
    <t>AMC11437</t>
  </si>
  <si>
    <t>9/28/2026</t>
  </si>
  <si>
    <t>Mr. Shazaad Hashmi Murooj V590- 27/09/2025</t>
  </si>
  <si>
    <t>AMC11439</t>
  </si>
  <si>
    <t>9/26/2026</t>
  </si>
  <si>
    <t>Ms. Mariam Shahid Parkside Th87- 04/10/2025</t>
  </si>
  <si>
    <t>AMC11436</t>
  </si>
  <si>
    <t>NBTC Head Office - Abudhabi - 05/09/2025</t>
  </si>
  <si>
    <t>AMC11435</t>
  </si>
  <si>
    <t>Parking Building - Lifo sharjah-24/09/2025</t>
  </si>
  <si>
    <t>AMC11438</t>
  </si>
  <si>
    <t>9/23/2026</t>
  </si>
  <si>
    <t>Mr. Neeraj Kumar Th443- 20/09/2025</t>
  </si>
  <si>
    <t>AMC11434</t>
  </si>
  <si>
    <t>9/19/2026</t>
  </si>
  <si>
    <t>Dr. Moza Al Shehhei Sidra 1 V313- 18/09/2025</t>
  </si>
  <si>
    <t>AMC11433</t>
  </si>
  <si>
    <t>9/29/2026</t>
  </si>
  <si>
    <t>West field Nursery - 25/07/2025</t>
  </si>
  <si>
    <t>AMC11440</t>
  </si>
  <si>
    <t>7/24/2026</t>
  </si>
  <si>
    <t>***Mr. Samir Mikati Jubail V251- 01/10/2025</t>
  </si>
  <si>
    <t>AMC11442</t>
  </si>
  <si>
    <t>9/30/2026</t>
  </si>
  <si>
    <t>Mr. Richard Stephens Meadows 9 St 11 V11- 03/10/2025</t>
  </si>
  <si>
    <t>AMC11448</t>
  </si>
  <si>
    <t>Mr. Umesh Aggarwal Murooj V220- 01/10/2025</t>
  </si>
  <si>
    <t>AMC11443</t>
  </si>
  <si>
    <t>Dar Munira building DSO - 28/09/2025</t>
  </si>
  <si>
    <t>AMC11456</t>
  </si>
  <si>
    <t>9/27/2026</t>
  </si>
  <si>
    <t>Mr. Makhbul Ahmed Khazi Murooj TH465- 01/10/2025</t>
  </si>
  <si>
    <t>AMC11441</t>
  </si>
  <si>
    <t>MMC By London Gate - 01/10/2025</t>
  </si>
  <si>
    <t>AMC11445</t>
  </si>
  <si>
    <t>Arabian Ranches-3-Joy Villa-731-Azita- 16/10/2025</t>
  </si>
  <si>
    <t>AMC11454</t>
  </si>
  <si>
    <t>10/15/2026</t>
  </si>
  <si>
    <t>Mr. Mohammed Fadin Murooj Th288- 06/10/2025</t>
  </si>
  <si>
    <t>AMC11447</t>
  </si>
  <si>
    <t>Mr. Ali Matar Sidra1 V31- 12/11/2025</t>
  </si>
  <si>
    <t>AMC11455</t>
  </si>
  <si>
    <t>Mr. Kunwar Kukreja Murooj V12- 14/10/2025</t>
  </si>
  <si>
    <t>AMC11451</t>
  </si>
  <si>
    <t>10/13/2026</t>
  </si>
  <si>
    <t>Mr-Khalil-Sidra 2 Villa 298- 02/10/2025</t>
  </si>
  <si>
    <t>AMC11452</t>
  </si>
  <si>
    <t>Mr. Ivan Jovalekic Gardenia V107- 07/10/2025</t>
  </si>
  <si>
    <t>AMC11449</t>
  </si>
  <si>
    <t>Amit jaiswal-AR2-C1-V-34- 02/10/2025</t>
  </si>
  <si>
    <t>AMC11446</t>
  </si>
  <si>
    <t>Mr. Isfahan Tahir Murooj V599- 26/10/2025</t>
  </si>
  <si>
    <t>AMC11461</t>
  </si>
  <si>
    <t>10/25/2026</t>
  </si>
  <si>
    <t>Mr. Deepak TH-022-14 The Estates by MAG Al Furjan West- 27/10/2025</t>
  </si>
  <si>
    <t>AMC11462</t>
  </si>
  <si>
    <t>Locobear The Ultimate Entertainment Hub- 23/10/2025</t>
  </si>
  <si>
    <t>AMC11460</t>
  </si>
  <si>
    <t>10/23/2026</t>
  </si>
  <si>
    <t>Ms. Faye Hodgson Murooj V64- 22/10/2025</t>
  </si>
  <si>
    <t>AMC11457</t>
  </si>
  <si>
    <t>10/21/2026</t>
  </si>
  <si>
    <t>Ajmal Perfumes Warehouse- 15/10/2025</t>
  </si>
  <si>
    <t>AMC11458</t>
  </si>
  <si>
    <t>10/14/2026</t>
  </si>
  <si>
    <t>ASRE Camp-Warsan - 01/11/2025</t>
  </si>
  <si>
    <t>AMC11473</t>
  </si>
  <si>
    <t>Padel Town Sports Amusement - Al Quoz - 23/10/2025</t>
  </si>
  <si>
    <t>AMC11459</t>
  </si>
  <si>
    <t>10/22/2026</t>
  </si>
  <si>
    <t>Doctors Center Polyclinic LLC - 01/11/2025</t>
  </si>
  <si>
    <t>AMC11472</t>
  </si>
  <si>
    <t>10/31/2026</t>
  </si>
  <si>
    <t>***Ms-Sana Sabbagh -CV-147- 25/10/2025</t>
  </si>
  <si>
    <t>AMC11466</t>
  </si>
  <si>
    <t>10/24/2026</t>
  </si>
  <si>
    <t>Luma 22 - 1 Bed 340 (West Block) - 01/11/2025</t>
  </si>
  <si>
    <t>AMC11463</t>
  </si>
  <si>
    <t>Luma 22 3 Bed - 125 (East Block) - 01/11/2025</t>
  </si>
  <si>
    <t>AMC11464</t>
  </si>
  <si>
    <t>Mr. Abdallah Alrodan Sidra 2 V69- 31/10/2025</t>
  </si>
  <si>
    <t>AMC11465</t>
  </si>
  <si>
    <t>Blu Chocolate Sharjah - 01/11/2025</t>
  </si>
  <si>
    <t>AMC11470</t>
  </si>
  <si>
    <t>***Mr. Malek Karali Murooj V513- 12/11/2025</t>
  </si>
  <si>
    <t>AMC11477</t>
  </si>
  <si>
    <t>Luma 22 Flat 363 West Tower - 03/11/2025</t>
  </si>
  <si>
    <t>AMC11468</t>
  </si>
  <si>
    <t>EMIRATES HILLS VILLA R40 - 01/11/2025</t>
  </si>
  <si>
    <t>AMC11469</t>
  </si>
  <si>
    <t>***Ms. Gagandeep &amp; Mr. Ashish AR3 Joy V523- 15/11/2025</t>
  </si>
  <si>
    <t>AMC11471</t>
  </si>
  <si>
    <t>11/14/2026</t>
  </si>
  <si>
    <t>***Mr. Gautam Singh Rathore Murooj V619- 05/11/2025</t>
  </si>
  <si>
    <t>AMC11467</t>
  </si>
  <si>
    <t>***Faisal Shora-Sidra 2 Villa 184- 03/11/2025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</si>
  <si>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</si>
  <si>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</si>
  <si>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</si>
  <si>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</si>
  <si>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</si>
  <si>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</si>
  <si>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</si>
  <si>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11/16/2026</t>
  </si>
  <si>
    <t>SLB ACE Base Icad - 15/10/2025</t>
  </si>
  <si>
    <t>AMC11484</t>
  </si>
  <si>
    <t>Basil Muteena Building - 07/12/2025</t>
  </si>
  <si>
    <t>AMC11481</t>
  </si>
  <si>
    <t>***Mr. Amit Garg Murooj V576- 22/11/2025</t>
  </si>
  <si>
    <t>AMC11485</t>
  </si>
  <si>
    <t>11/21/2026</t>
  </si>
  <si>
    <t>Mr. Jeroen Fransen Luma 22 Flat 405- 22/11/2025</t>
  </si>
  <si>
    <t>AMC11487</t>
  </si>
  <si>
    <t>***Ms. SoJeong AR3 Spring V20- 21/11/2025</t>
  </si>
  <si>
    <t>AMC11483</t>
  </si>
  <si>
    <t>11/20/2026</t>
  </si>
  <si>
    <t>Mr. Lisham Bonakdar- Villa F028 Jumeirah Luxury Living, JGE- 13/11/2025</t>
  </si>
  <si>
    <t>AMC11482</t>
  </si>
  <si>
    <t>Mr. Mustafa Alizzi Murooj V248- 24/11/2025</t>
  </si>
  <si>
    <t>AMC11486</t>
  </si>
  <si>
    <t>11/23/2026</t>
  </si>
  <si>
    <t>***Mr. Khaled Al Ali Villa Murooj V216- 22/11/2025</t>
  </si>
  <si>
    <t>AMC11489</t>
  </si>
  <si>
    <t>***Mr. Mazen El Moghazy Club V23- 25/11/2025</t>
  </si>
  <si>
    <t>AMC11488</t>
  </si>
  <si>
    <t>11/24/2026</t>
  </si>
  <si>
    <t>Mr. Sergey Vasilyev Luma 22 F240- 28/11/2025</t>
  </si>
  <si>
    <t>AMC11490</t>
  </si>
  <si>
    <t>11/27/2026</t>
  </si>
  <si>
    <t>Al Ain Zapia Nature reserve Building &amp; Food and Beverages Building - 01/11/2025</t>
  </si>
  <si>
    <t>AMC11491</t>
  </si>
  <si>
    <t>***Mr. Gary Contreras Murooj V471- 05/12/2025</t>
  </si>
  <si>
    <t>AMC11492</t>
  </si>
  <si>
    <t>Miza Warehouse - Zayed Port - 01/12/2025</t>
  </si>
  <si>
    <t>AMC11495</t>
  </si>
  <si>
    <t>Mr. Siarhei Dzemidavets Luma 22 F135- 05/12/2025</t>
  </si>
  <si>
    <t>AMC11494</t>
  </si>
  <si>
    <t>***Ms. Lisa Jackson Camelia 1 V55- 05/12/2025</t>
  </si>
  <si>
    <t>AMC11493</t>
  </si>
  <si>
    <t>Lulu hypermarket Jaddaf - 01/11/2025</t>
  </si>
  <si>
    <t>AMC11498</t>
  </si>
  <si>
    <t>2XL Homes-SHJ - 05/12/2025</t>
  </si>
  <si>
    <t>AMC11497</t>
  </si>
  <si>
    <t>Mrs. Niqqat Hussein V8 Golf Homes- 15/12/2025</t>
  </si>
  <si>
    <t>AMC11496</t>
  </si>
  <si>
    <t>12/14/2026</t>
  </si>
  <si>
    <t>The Polyclinic Jumeirah - 16/12/2025</t>
  </si>
  <si>
    <t>AMC11499</t>
  </si>
  <si>
    <t>12/15/2026</t>
  </si>
  <si>
    <t>Al Waheda Villa - Tariq- 11/11/2025</t>
  </si>
  <si>
    <t>AMC11500</t>
  </si>
  <si>
    <t>Expo city Dubai Pavilions - 01/01/2026</t>
  </si>
  <si>
    <t>Tulip Oasis 9 - 01/01/2026</t>
  </si>
  <si>
    <t>AMC11501</t>
  </si>
  <si>
    <t>12/31/2028</t>
  </si>
  <si>
    <t>Al Jaddaf Avenue - 16/12/2025</t>
  </si>
  <si>
    <t>AMC11502</t>
  </si>
  <si>
    <t>12/16/2026</t>
  </si>
  <si>
    <t>Zaid Jammal-Gardenia TH 94- 04/12/2025</t>
  </si>
  <si>
    <t>AMC11503</t>
  </si>
  <si>
    <t>Al Mezania Building - 18/01/2026</t>
  </si>
  <si>
    <t>AMC11511</t>
  </si>
  <si>
    <t>1/18/2027</t>
  </si>
  <si>
    <t>Eco Island - 01/01/2026</t>
  </si>
  <si>
    <t>AMC11504</t>
  </si>
  <si>
    <t>FSFM Properties - 01/01/2026</t>
  </si>
  <si>
    <t>Arjan Heights - 01/01/2026</t>
  </si>
  <si>
    <t>AMC11508</t>
  </si>
  <si>
    <t>Mr. Yaser Alzubaidi Villa 157 Murooj Al Furjan East 2- 01/01/2026</t>
  </si>
  <si>
    <t>AMC11507</t>
  </si>
  <si>
    <t>Jumeirah Bay Villa LV08- 20/01/2026</t>
  </si>
  <si>
    <t>AMC11515</t>
  </si>
  <si>
    <t>1/19/2027</t>
  </si>
  <si>
    <t>Mr. Satish Unnikrishnan Nair V239 Murooj al furjan east 2- 01/01/2026</t>
  </si>
  <si>
    <t>AMC11510</t>
  </si>
  <si>
    <t>Beach palace - 01/01/2026</t>
  </si>
  <si>
    <t>AMC11514</t>
  </si>
  <si>
    <t>Equinix office - Khazana Data Center - 01/01/2026</t>
  </si>
  <si>
    <t>AMC11512</t>
  </si>
  <si>
    <t>1/14/2027</t>
  </si>
  <si>
    <t>AMC11574</t>
  </si>
  <si>
    <t>Blue Bay - Full circle Labour Camp - 15/05/2025</t>
  </si>
  <si>
    <t>5/15/2026</t>
  </si>
  <si>
    <t>DOH SEHA - 01/10/2025</t>
  </si>
  <si>
    <t>AMC11524</t>
  </si>
  <si>
    <t>***Sultan Muheiri Sidra 2 327- 23/01/2026</t>
  </si>
  <si>
    <t>AMC11518</t>
  </si>
  <si>
    <t>1/22/2027</t>
  </si>
  <si>
    <t>Day To Day Store - Mezania Building, Al Nahda Dubai- 01/02/2025</t>
  </si>
  <si>
    <t>AMC11516</t>
  </si>
  <si>
    <t>1/31/2027</t>
  </si>
  <si>
    <t>***Mr. Rafael Bastardo Camelia 1 V155- 08/04/2026</t>
  </si>
  <si>
    <t>AMC11520</t>
  </si>
  <si>
    <t>321 Extension - 01/01/2026</t>
  </si>
  <si>
    <t>AMC11517</t>
  </si>
  <si>
    <t>Mr. John Alexander DSO D36- 30/01/2026</t>
  </si>
  <si>
    <t>AMC11519</t>
  </si>
  <si>
    <t>1/29/2027</t>
  </si>
  <si>
    <t>Mr. Serkan Sarp Findikci Murooj Th294- 31/01/2026</t>
  </si>
  <si>
    <t>AMC11521</t>
  </si>
  <si>
    <t>1/30/2027</t>
  </si>
  <si>
    <t>Mr. Walid Al Nasr Mag F601- 30/01/2026</t>
  </si>
  <si>
    <t>AMC11527</t>
  </si>
  <si>
    <t>Mr. Mesut Takseen Villa Sidra 2 V62- 12/02/2026</t>
  </si>
  <si>
    <t>AMC11522</t>
  </si>
  <si>
    <t>Reem Island Villas 187,188 &amp; Life Size Sales Center - Abu Dhabi - 01/11/2025</t>
  </si>
  <si>
    <t>AMC11526</t>
  </si>
  <si>
    <t>Emrill staff accomodation Al quoz - 01/01/2026</t>
  </si>
  <si>
    <t>AMC11525</t>
  </si>
  <si>
    <t>Ms. Sameera AR3 V530- 05/02/2026</t>
  </si>
  <si>
    <t>AMC11528</t>
  </si>
  <si>
    <t>Mr. Bhavesh Ladha Luma 22 F238- 06/02/2026</t>
  </si>
  <si>
    <t>AMC11529</t>
  </si>
  <si>
    <t>Mr. Saif Mohammed Al-Midfa V10 SHJ- 05/02/2026</t>
  </si>
  <si>
    <t>AMC11530</t>
  </si>
  <si>
    <t>SFL Canusa AUH- 01/01/2026</t>
  </si>
  <si>
    <t>AMC11533</t>
  </si>
  <si>
    <t>Global Gases JAFZA- 05/02/2026</t>
  </si>
  <si>
    <t>AMC11531</t>
  </si>
  <si>
    <t>Mr. Richard Doyle Villa 121 Camelia 1- 17/02/2026</t>
  </si>
  <si>
    <t>AMC11532</t>
  </si>
  <si>
    <t>2/16/2027</t>
  </si>
  <si>
    <t>Mr. Michael Boegsted Villa 535 Murooj- 17/02/2026</t>
  </si>
  <si>
    <t>AMC11536</t>
  </si>
  <si>
    <t>1244154 Highland Villa. - 01/01/2026</t>
  </si>
  <si>
    <t>AMC11537</t>
  </si>
  <si>
    <t>Mr. Suhrid Chaudhuri V473 Murooj- 12/02/2026</t>
  </si>
  <si>
    <t>AMC11535</t>
  </si>
  <si>
    <t>Mr. Aleksandr Stepanov Murooj V107- 13/02/2026</t>
  </si>
  <si>
    <t>AMC11534</t>
  </si>
  <si>
    <t>Mr. Brendan Wlas Sidra 2 V391- 14/02/2026</t>
  </si>
  <si>
    <t>AMC11562</t>
  </si>
  <si>
    <t>2/15/2027</t>
  </si>
  <si>
    <t>Mr. Kshitij Saxena Murooj V137- 01/03/2026</t>
  </si>
  <si>
    <t>AMC11539</t>
  </si>
  <si>
    <t>2/28/2027</t>
  </si>
  <si>
    <t>Mr. Okkes Ozdemir AR3 V254- 24/02/2026</t>
  </si>
  <si>
    <t>AMC11540</t>
  </si>
  <si>
    <t>2/23/2027</t>
  </si>
  <si>
    <t>Mrs. Abeela Anwar Murooj V231- 28/02/2026</t>
  </si>
  <si>
    <t>AMC11541</t>
  </si>
  <si>
    <t>2/27/2027</t>
  </si>
  <si>
    <t>Mr. Sharad Sinha Murooj V565 East 1- 19/02/2026</t>
  </si>
  <si>
    <t>AMC11538</t>
  </si>
  <si>
    <t>2/18/2027</t>
  </si>
  <si>
    <t>Ms. Zahra Shaikh Murooj TH384- 28/02/2026</t>
  </si>
  <si>
    <t>AMC11543</t>
  </si>
  <si>
    <t>Angel cakes Al Quoz - 01/03/2026</t>
  </si>
  <si>
    <t>AMC11546</t>
  </si>
  <si>
    <t>Ms. Elly Farouky Dubai Hills Estate Club Villa 46- 04/03/2026</t>
  </si>
  <si>
    <t>AMC11545</t>
  </si>
  <si>
    <t>Lulu Express jumeirah - 01/02/2026</t>
  </si>
  <si>
    <t>AMC11542</t>
  </si>
  <si>
    <t>Tulip Jumeirah Golf Estate Head Office - 01/02/2026</t>
  </si>
  <si>
    <t>AMC11544</t>
  </si>
  <si>
    <t>Topgolf Dubai - 01/02/2026</t>
  </si>
  <si>
    <t>AMC11550</t>
  </si>
  <si>
    <t>Rashid Building ADCP - 01/02/2026</t>
  </si>
  <si>
    <t>AMC11552</t>
  </si>
  <si>
    <t>DHP Residency - 10/03/2026</t>
  </si>
  <si>
    <t>AMC11551</t>
  </si>
  <si>
    <t>Tiger Jax - 01/02/2026</t>
  </si>
  <si>
    <t>AMC11549</t>
  </si>
  <si>
    <t>Hoor 18 - Jaddaf - 08/03/2026</t>
  </si>
  <si>
    <t>AMC11557</t>
  </si>
  <si>
    <t>D97 Jumeirah Villa Ms. Lina Koualty- 08/03/2027</t>
  </si>
  <si>
    <t>AMC11548</t>
  </si>
  <si>
    <t>Al Hamd residence - SBK - 01/03/2026</t>
  </si>
  <si>
    <t>AMC11553</t>
  </si>
  <si>
    <t>Mr. Ashwin Subramanian Murooj V08- 10/03/2026</t>
  </si>
  <si>
    <t>AMC11555</t>
  </si>
  <si>
    <t>Mr. Ahmad ali Club V35- 11/03/2026</t>
  </si>
  <si>
    <t>AMC11556</t>
  </si>
  <si>
    <t>Saleh Bin Lahej - Al Majan - 15/02/2026</t>
  </si>
  <si>
    <t>AMC11554</t>
  </si>
  <si>
    <t>Mr. Amr Elshamy Murooj TH244- 24/03/2027</t>
  </si>
  <si>
    <t>AMC11547</t>
  </si>
  <si>
    <t>3/24/2027</t>
  </si>
  <si>
    <t>Hamptons restaurant and cafe - District one - 01/03/2026</t>
  </si>
  <si>
    <t>AMC11566</t>
  </si>
  <si>
    <t>Mr. Tony Yammine Murooj TH135- 14/03/2026</t>
  </si>
  <si>
    <t>AMC11561</t>
  </si>
  <si>
    <t>Mr. Mohammed Suhail Ahmed- 23/03/2026</t>
  </si>
  <si>
    <t>AMC11569</t>
  </si>
  <si>
    <t>1/23/2027</t>
  </si>
  <si>
    <t>Mr. Joachim Wuilmet Murooj Villa 556- 13/03/2026</t>
  </si>
  <si>
    <t>AMC11560</t>
  </si>
  <si>
    <t>3/14/2027</t>
  </si>
  <si>
    <t>DGE HQ - Abu Dhabi - 01/02/2026</t>
  </si>
  <si>
    <t>AMC11568</t>
  </si>
  <si>
    <t>Mr. Gaurav Prakash- (Villa 479 Murooj) 12/03/2026</t>
  </si>
  <si>
    <t>AMC11559</t>
  </si>
  <si>
    <t>Mr. Ata Shobeiry Villa P20- 01/05/2026</t>
  </si>
  <si>
    <t>AMC11563</t>
  </si>
  <si>
    <t>Mr. Scott Townend Murooj V514- 25/03/2026</t>
  </si>
  <si>
    <t>AMC11567</t>
  </si>
  <si>
    <t>Mr. Feras Dadis V58 Murooj- 26/04/2025</t>
  </si>
  <si>
    <t>AMC11570</t>
  </si>
  <si>
    <t>4/25/2027</t>
  </si>
  <si>
    <t>Masdar city â€“ Accelerator 1, M10 Beamtrail (Common area systems). - 01/02/2026</t>
  </si>
  <si>
    <t>AMC11575</t>
  </si>
  <si>
    <t>Al Mizhar, Dubai</t>
  </si>
  <si>
    <t>Al Qusais, Dubai</t>
  </si>
  <si>
    <t>Expo City Dubai, Dubai</t>
  </si>
  <si>
    <t>Jumeirah Village Circle JVC, Dubai</t>
  </si>
  <si>
    <t>Jebel Ali Free Zone Area (JAFZA), Dubai</t>
  </si>
  <si>
    <t>Al Markaziya, Abu Dhabi</t>
  </si>
  <si>
    <t>Jebel Ali, Dubai</t>
  </si>
  <si>
    <t>Emirates Hills, Dubai</t>
  </si>
  <si>
    <t>Al Wasl, Dubai</t>
  </si>
  <si>
    <t>Al Karamah, Abu Dhabi</t>
  </si>
  <si>
    <t>Dubai Hills Estate, Dubai</t>
  </si>
  <si>
    <t>Al Hudayriat Island, Abu Dhabi</t>
  </si>
  <si>
    <t>Jumeirah Bay Island, Dubai</t>
  </si>
  <si>
    <t>Wadi Al Safa 2, Dubai</t>
  </si>
  <si>
    <t>Masdar City, Abu Dhabi</t>
  </si>
  <si>
    <t>Shakhbout City, Abu Dhabi</t>
  </si>
  <si>
    <t>Al Mamzar, Dubai</t>
  </si>
  <si>
    <t>Al Warqaa, Dubai</t>
  </si>
  <si>
    <t>Al Furjan, Dubai</t>
  </si>
  <si>
    <t>Yas Island, Abu Dhabi</t>
  </si>
  <si>
    <t>Arabian Ranches 2, Dubai</t>
  </si>
  <si>
    <t>Al Quoz, Dubai</t>
  </si>
  <si>
    <t>Arabian Ranches 3, Dubai</t>
  </si>
  <si>
    <t>Meadows, Dubai</t>
  </si>
  <si>
    <t>Emaar South, Dubai</t>
  </si>
  <si>
    <t>Musaffah, Abu Dhabi</t>
  </si>
  <si>
    <t>Dubai Silicon Oasis, Dubai</t>
  </si>
  <si>
    <t>Dubai Hills View, Dubai</t>
  </si>
  <si>
    <t>Mohammed Bin Rashid City, Dubai</t>
  </si>
  <si>
    <t>Al Barsha, Dubai</t>
  </si>
  <si>
    <t>Arjan, Dubai</t>
  </si>
  <si>
    <t>Saadiyat Island, Abu Dhabi</t>
  </si>
  <si>
    <t>Abu Dhabi City, Abu Dhabi</t>
  </si>
  <si>
    <t>Nad Al Sheba, Dubai</t>
  </si>
  <si>
    <t>Meydan, Dubai</t>
  </si>
  <si>
    <t>Dubai Hills Grove, Dubai</t>
  </si>
  <si>
    <t>Mirdif, Dubai</t>
  </si>
  <si>
    <t>Jubail Island, Abu Dhabi</t>
  </si>
  <si>
    <t>Dubai Industrial City, Dubai</t>
  </si>
  <si>
    <t>Rabdan, Abu Dhabi</t>
  </si>
  <si>
    <t>Dubai Hills, Dubai</t>
  </si>
  <si>
    <t>Jumeirah Lake Towers JLT, Dubai</t>
  </si>
  <si>
    <t>Al Satwa, Dubai</t>
  </si>
  <si>
    <t>Al Jaddaf, Dubai</t>
  </si>
  <si>
    <t>Gardenia Townhomes, Dubai</t>
  </si>
  <si>
    <t>Warsan, Dubai</t>
  </si>
  <si>
    <t>Jumeirah, Dubai</t>
  </si>
  <si>
    <t>Dubai South, Dubai</t>
  </si>
  <si>
    <t>Oud Al Muteena, Dubai</t>
  </si>
  <si>
    <t>Jumeirah Golf Estate, Dubai</t>
  </si>
  <si>
    <t>Zayed Port, Abu Dhabi</t>
  </si>
  <si>
    <t>Arabian Ranches 1, Dubai</t>
  </si>
  <si>
    <t>Deira, Dubai</t>
  </si>
  <si>
    <t>Al Barari, Dubai</t>
  </si>
  <si>
    <t>Dubai Media City, Dubai</t>
  </si>
  <si>
    <t>Al Reem Island, Abu Dhabi</t>
  </si>
  <si>
    <t>KIZAD (Khalifa Industrial Zone Abu Dhabi), Abu Dhabi</t>
  </si>
  <si>
    <t>Jumeirah 1, Dubai</t>
  </si>
  <si>
    <t>PALM JUMEIRAH, Dubai</t>
  </si>
  <si>
    <t>Dubai Design District (D3), Dubai</t>
  </si>
  <si>
    <t>Al Muntazah, Abu Dhabi</t>
  </si>
  <si>
    <t>The Hills, Dubai</t>
  </si>
  <si>
    <t>District</t>
  </si>
  <si>
    <t>50 422 0516</t>
  </si>
  <si>
    <t>0504220516</t>
  </si>
  <si>
    <t>0504220356</t>
  </si>
  <si>
    <t>54 373 4692</t>
  </si>
  <si>
    <t>050 422 0516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</si>
</sst>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2" xfId="0" applyNumberFormat="1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22" fontId="0" fillId="0" borderId="0" xfId="0" applyNumberFormat="1"/>
    <xf numFmtId="0" fontId="0" fillId="3" borderId="0" xfId="0" applyFill="1"/>
    <xf numFmtId="0" fontId="0" fillId="0" borderId="0" xfId="0" quotePrefix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9"/>
  <sheetViews>
    <sheetView tabSelected="1" zoomScale="98" zoomScaleNormal="98" workbookViewId="0">
      <pane xSplit="5" ySplit="1" topLeftCell="F41" activePane="bottomRight" state="frozen"/>
      <selection pane="topRight" activeCell="F1" sqref="F1"/>
      <selection pane="bottomLeft" activeCell="A2" sqref="A2"/>
      <selection pane="bottomRight" activeCell="Z2" sqref="Z2:Z299"/>
    </sheetView>
  </sheetViews>
  <sheetFormatPr defaultRowHeight="15" x14ac:dyDescent="0.25"/>
  <cols>
    <col min="1" max="1" width="7.85546875" customWidth="1"/>
    <col min="2" max="2" width="66.5703125" bestFit="1" customWidth="1"/>
    <col min="4" max="4" width="17.140625" bestFit="1" customWidth="1"/>
    <col min="6" max="6" width="10.7109375" style="5" bestFit="1" customWidth="1"/>
    <col min="9" max="9" width="23.7109375" style="4" customWidth="1"/>
    <col min="10" max="10" width="18.28515625" style="4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25" max="25" width="20.5703125" bestFit="1" customWidth="1"/>
    <col min="27" max="27" width="14.140625" bestFit="1" customWidth="1"/>
  </cols>
  <sheetData>
    <row r="1" spans="1:27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s="5" t="s">
        <v>29</v>
      </c>
      <c r="G1" t="s">
        <v>30</v>
      </c>
      <c r="H1" t="s">
        <v>31</v>
      </c>
      <c r="I1" s="2" t="s">
        <v>32</v>
      </c>
      <c r="J1" s="2" t="s">
        <v>33</v>
      </c>
      <c r="K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s="1" t="s">
        <v>49</v>
      </c>
      <c r="AA1" s="1" t="s">
        <v>939</v>
      </c>
    </row>
    <row r="2" spans="1:27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  <c r="F2" s="5" t="s">
        <v>54</v>
      </c>
      <c r="G2">
        <v>4</v>
      </c>
      <c r="H2">
        <v>40</v>
      </c>
      <c r="I2" s="4">
        <f t="shared" ref="I2:I65" si="0">Y2/G2</f>
        <v>9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>
        <v>351</v>
      </c>
      <c r="V2">
        <v>36</v>
      </c>
      <c r="W2">
        <v>351</v>
      </c>
      <c r="X2">
        <v>3</v>
      </c>
      <c r="Y2">
        <v>36</v>
      </c>
      <c r="Z2">
        <f>SUM(U2:X2)</f>
        <v>741</v>
      </c>
      <c r="AA2" t="s">
        <v>877</v>
      </c>
    </row>
    <row r="3" spans="1:27" x14ac:dyDescent="0.25">
      <c r="A3">
        <v>2</v>
      </c>
      <c r="B3" t="s">
        <v>419</v>
      </c>
      <c r="C3" t="s">
        <v>51</v>
      </c>
      <c r="D3" t="s">
        <v>420</v>
      </c>
      <c r="E3" t="s">
        <v>53</v>
      </c>
      <c r="F3" s="5" t="s">
        <v>421</v>
      </c>
      <c r="G3">
        <v>3</v>
      </c>
      <c r="H3">
        <v>65</v>
      </c>
      <c r="I3" s="4">
        <f t="shared" si="0"/>
        <v>4</v>
      </c>
      <c r="J3" s="4">
        <v>4.5</v>
      </c>
      <c r="K3" t="s">
        <v>61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69</v>
      </c>
      <c r="U3">
        <v>180</v>
      </c>
      <c r="W3">
        <v>180</v>
      </c>
      <c r="X3">
        <v>2</v>
      </c>
      <c r="Y3">
        <v>12</v>
      </c>
      <c r="Z3">
        <f t="shared" ref="Z3:Z66" si="3">SUM(U3:X3)</f>
        <v>362</v>
      </c>
      <c r="AA3" t="s">
        <v>878</v>
      </c>
    </row>
    <row r="4" spans="1:27" x14ac:dyDescent="0.25">
      <c r="A4">
        <v>3</v>
      </c>
      <c r="B4" t="s">
        <v>65</v>
      </c>
      <c r="C4" t="s">
        <v>51</v>
      </c>
      <c r="D4" t="s">
        <v>66</v>
      </c>
      <c r="E4" t="s">
        <v>53</v>
      </c>
      <c r="F4" s="5">
        <v>46393</v>
      </c>
      <c r="G4">
        <v>4</v>
      </c>
      <c r="H4">
        <v>40</v>
      </c>
      <c r="I4" s="4">
        <f t="shared" si="0"/>
        <v>6</v>
      </c>
      <c r="J4" s="4">
        <v>6</v>
      </c>
      <c r="K4" t="s">
        <v>93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69</v>
      </c>
      <c r="U4">
        <v>35</v>
      </c>
      <c r="V4">
        <v>24</v>
      </c>
      <c r="X4">
        <v>7</v>
      </c>
      <c r="Y4">
        <v>24</v>
      </c>
      <c r="Z4">
        <f t="shared" si="3"/>
        <v>66</v>
      </c>
      <c r="AA4" t="s">
        <v>879</v>
      </c>
    </row>
    <row r="5" spans="1:27" x14ac:dyDescent="0.25">
      <c r="A5">
        <v>4</v>
      </c>
      <c r="B5" t="s">
        <v>70</v>
      </c>
      <c r="C5" t="s">
        <v>51</v>
      </c>
      <c r="D5" t="s">
        <v>71</v>
      </c>
      <c r="E5" t="s">
        <v>53</v>
      </c>
      <c r="F5" s="5" t="s">
        <v>72</v>
      </c>
      <c r="G5">
        <v>4</v>
      </c>
      <c r="H5">
        <v>18</v>
      </c>
      <c r="I5" s="4">
        <f t="shared" si="0"/>
        <v>9</v>
      </c>
      <c r="J5" s="4">
        <v>29</v>
      </c>
      <c r="K5" t="s">
        <v>67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78</v>
      </c>
      <c r="T5" t="s">
        <v>69</v>
      </c>
      <c r="U5">
        <v>49</v>
      </c>
      <c r="V5">
        <v>29</v>
      </c>
      <c r="X5">
        <v>5</v>
      </c>
      <c r="Y5">
        <v>36</v>
      </c>
      <c r="Z5">
        <f t="shared" si="3"/>
        <v>83</v>
      </c>
      <c r="AA5" t="s">
        <v>880</v>
      </c>
    </row>
    <row r="6" spans="1:27" x14ac:dyDescent="0.25">
      <c r="A6" s="6">
        <v>5</v>
      </c>
      <c r="B6" t="s">
        <v>422</v>
      </c>
      <c r="C6" t="s">
        <v>51</v>
      </c>
      <c r="D6" t="s">
        <v>423</v>
      </c>
      <c r="E6" t="s">
        <v>53</v>
      </c>
      <c r="F6" s="5" t="s">
        <v>424</v>
      </c>
      <c r="G6">
        <v>3</v>
      </c>
      <c r="H6">
        <v>62</v>
      </c>
      <c r="I6" s="4">
        <f t="shared" si="0"/>
        <v>4</v>
      </c>
      <c r="J6" s="4">
        <v>3</v>
      </c>
      <c r="K6" t="s">
        <v>93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62</v>
      </c>
      <c r="R6" t="s">
        <v>63</v>
      </c>
      <c r="S6" t="s">
        <v>58</v>
      </c>
      <c r="T6" t="s">
        <v>64</v>
      </c>
      <c r="U6">
        <v>216</v>
      </c>
      <c r="V6">
        <v>53</v>
      </c>
      <c r="X6">
        <v>2</v>
      </c>
      <c r="Y6">
        <v>12</v>
      </c>
      <c r="Z6">
        <f t="shared" si="3"/>
        <v>271</v>
      </c>
      <c r="AA6" t="s">
        <v>881</v>
      </c>
    </row>
    <row r="7" spans="1:27" x14ac:dyDescent="0.25">
      <c r="A7" s="6">
        <v>6</v>
      </c>
      <c r="B7" t="s">
        <v>246</v>
      </c>
      <c r="C7" t="s">
        <v>75</v>
      </c>
      <c r="D7" t="s">
        <v>312</v>
      </c>
      <c r="E7" t="s">
        <v>76</v>
      </c>
      <c r="F7" s="5" t="s">
        <v>77</v>
      </c>
      <c r="G7">
        <v>4</v>
      </c>
      <c r="H7">
        <v>24</v>
      </c>
      <c r="I7" s="4">
        <f t="shared" si="0"/>
        <v>6</v>
      </c>
      <c r="J7" s="4">
        <v>8</v>
      </c>
      <c r="K7" t="s">
        <v>67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62</v>
      </c>
      <c r="R7" t="s">
        <v>63</v>
      </c>
      <c r="S7" t="s">
        <v>58</v>
      </c>
      <c r="T7" t="s">
        <v>69</v>
      </c>
      <c r="U7">
        <v>61</v>
      </c>
      <c r="V7">
        <v>23</v>
      </c>
      <c r="Y7">
        <v>24</v>
      </c>
      <c r="Z7">
        <f t="shared" si="3"/>
        <v>84</v>
      </c>
      <c r="AA7" t="s">
        <v>882</v>
      </c>
    </row>
    <row r="8" spans="1:27" x14ac:dyDescent="0.25">
      <c r="A8" s="6">
        <v>7</v>
      </c>
      <c r="B8" t="s">
        <v>425</v>
      </c>
      <c r="C8" t="s">
        <v>51</v>
      </c>
      <c r="D8" t="s">
        <v>426</v>
      </c>
      <c r="E8" t="s">
        <v>53</v>
      </c>
      <c r="F8" s="5" t="s">
        <v>79</v>
      </c>
      <c r="G8">
        <v>3</v>
      </c>
      <c r="H8">
        <v>10</v>
      </c>
      <c r="I8" s="4">
        <f t="shared" si="0"/>
        <v>4</v>
      </c>
      <c r="J8" s="4">
        <v>1</v>
      </c>
      <c r="K8" t="s">
        <v>73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62</v>
      </c>
      <c r="R8" t="s">
        <v>63</v>
      </c>
      <c r="S8" t="s">
        <v>89</v>
      </c>
      <c r="T8" t="s">
        <v>69</v>
      </c>
      <c r="U8">
        <v>35</v>
      </c>
      <c r="V8">
        <v>19</v>
      </c>
      <c r="X8">
        <v>2</v>
      </c>
      <c r="Y8">
        <v>12</v>
      </c>
      <c r="Z8">
        <f t="shared" si="3"/>
        <v>56</v>
      </c>
    </row>
    <row r="9" spans="1:27" x14ac:dyDescent="0.25">
      <c r="A9" s="6">
        <v>8</v>
      </c>
      <c r="B9" t="s">
        <v>81</v>
      </c>
      <c r="C9" t="s">
        <v>51</v>
      </c>
      <c r="D9" t="s">
        <v>82</v>
      </c>
      <c r="E9" t="s">
        <v>53</v>
      </c>
      <c r="F9" s="5" t="s">
        <v>72</v>
      </c>
      <c r="G9">
        <v>4</v>
      </c>
      <c r="H9">
        <v>24</v>
      </c>
      <c r="I9" s="4">
        <f t="shared" si="0"/>
        <v>9</v>
      </c>
      <c r="J9" s="4">
        <v>1</v>
      </c>
      <c r="K9" t="s">
        <v>61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68</v>
      </c>
      <c r="S9" t="s">
        <v>58</v>
      </c>
      <c r="T9" t="s">
        <v>69</v>
      </c>
      <c r="U9">
        <v>60</v>
      </c>
      <c r="V9">
        <v>20</v>
      </c>
      <c r="X9">
        <v>2</v>
      </c>
      <c r="Y9">
        <v>36</v>
      </c>
      <c r="Z9">
        <f t="shared" si="3"/>
        <v>82</v>
      </c>
      <c r="AA9" t="s">
        <v>880</v>
      </c>
    </row>
    <row r="10" spans="1:27" x14ac:dyDescent="0.25">
      <c r="A10">
        <v>9</v>
      </c>
      <c r="B10" t="s">
        <v>427</v>
      </c>
      <c r="C10" t="s">
        <v>51</v>
      </c>
      <c r="F10" s="5" t="s">
        <v>424</v>
      </c>
      <c r="G10">
        <v>2</v>
      </c>
      <c r="H10">
        <v>2</v>
      </c>
      <c r="I10" s="4">
        <f t="shared" si="0"/>
        <v>0</v>
      </c>
      <c r="J10" s="4">
        <v>21</v>
      </c>
      <c r="K10" t="s">
        <v>93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68</v>
      </c>
      <c r="S10" t="s">
        <v>80</v>
      </c>
      <c r="T10" t="s">
        <v>69</v>
      </c>
      <c r="Z10">
        <f t="shared" si="3"/>
        <v>0</v>
      </c>
    </row>
    <row r="11" spans="1:27" x14ac:dyDescent="0.25">
      <c r="A11">
        <v>10</v>
      </c>
      <c r="B11" t="s">
        <v>83</v>
      </c>
      <c r="C11" t="s">
        <v>84</v>
      </c>
      <c r="D11" t="s">
        <v>85</v>
      </c>
      <c r="E11" t="s">
        <v>53</v>
      </c>
      <c r="F11" s="5" t="s">
        <v>86</v>
      </c>
      <c r="G11">
        <v>4</v>
      </c>
      <c r="H11">
        <v>116</v>
      </c>
      <c r="I11" s="4">
        <f t="shared" si="0"/>
        <v>9</v>
      </c>
      <c r="J11" s="4">
        <v>15</v>
      </c>
      <c r="K11" t="s">
        <v>93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68</v>
      </c>
      <c r="S11" t="s">
        <v>58</v>
      </c>
      <c r="T11" t="s">
        <v>96</v>
      </c>
      <c r="U11">
        <v>487</v>
      </c>
      <c r="V11">
        <v>93</v>
      </c>
      <c r="X11">
        <v>4</v>
      </c>
      <c r="Y11">
        <v>36</v>
      </c>
      <c r="Z11">
        <f t="shared" si="3"/>
        <v>584</v>
      </c>
      <c r="AA11" t="s">
        <v>883</v>
      </c>
    </row>
    <row r="12" spans="1:27" x14ac:dyDescent="0.25">
      <c r="A12">
        <v>11</v>
      </c>
      <c r="B12" t="s">
        <v>428</v>
      </c>
      <c r="C12" t="s">
        <v>51</v>
      </c>
      <c r="D12" t="s">
        <v>429</v>
      </c>
      <c r="E12" t="s">
        <v>53</v>
      </c>
      <c r="F12" s="5" t="s">
        <v>430</v>
      </c>
      <c r="G12">
        <v>4</v>
      </c>
      <c r="H12">
        <v>12</v>
      </c>
      <c r="I12" s="4">
        <f t="shared" si="0"/>
        <v>6</v>
      </c>
      <c r="J12" s="4">
        <v>1</v>
      </c>
      <c r="K12" t="s">
        <v>73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68</v>
      </c>
      <c r="S12" t="s">
        <v>58</v>
      </c>
      <c r="T12" t="s">
        <v>69</v>
      </c>
      <c r="U12">
        <v>42</v>
      </c>
      <c r="V12">
        <v>13</v>
      </c>
      <c r="X12">
        <v>1</v>
      </c>
      <c r="Y12">
        <v>24</v>
      </c>
      <c r="Z12">
        <f t="shared" si="3"/>
        <v>56</v>
      </c>
      <c r="AA12" t="s">
        <v>884</v>
      </c>
    </row>
    <row r="13" spans="1:27" x14ac:dyDescent="0.25">
      <c r="A13">
        <v>12</v>
      </c>
      <c r="B13" t="s">
        <v>247</v>
      </c>
      <c r="C13" t="s">
        <v>51</v>
      </c>
      <c r="D13" t="s">
        <v>313</v>
      </c>
      <c r="E13" t="s">
        <v>53</v>
      </c>
      <c r="F13" s="5" t="s">
        <v>79</v>
      </c>
      <c r="G13">
        <v>3</v>
      </c>
      <c r="H13">
        <v>45</v>
      </c>
      <c r="I13" s="4">
        <f t="shared" si="0"/>
        <v>12</v>
      </c>
      <c r="J13" s="4">
        <v>2</v>
      </c>
      <c r="K13" t="s">
        <v>61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63</v>
      </c>
      <c r="S13" t="s">
        <v>58</v>
      </c>
      <c r="T13" t="s">
        <v>69</v>
      </c>
      <c r="U13">
        <v>165</v>
      </c>
      <c r="V13">
        <v>86</v>
      </c>
      <c r="Y13">
        <v>36</v>
      </c>
      <c r="Z13">
        <f t="shared" si="3"/>
        <v>251</v>
      </c>
      <c r="AA13" t="s">
        <v>885</v>
      </c>
    </row>
    <row r="14" spans="1:27" x14ac:dyDescent="0.25">
      <c r="A14">
        <v>13</v>
      </c>
      <c r="B14" t="s">
        <v>248</v>
      </c>
      <c r="C14" t="s">
        <v>75</v>
      </c>
      <c r="D14" t="s">
        <v>314</v>
      </c>
      <c r="E14" t="s">
        <v>76</v>
      </c>
      <c r="F14" s="5" t="s">
        <v>90</v>
      </c>
      <c r="G14">
        <v>3</v>
      </c>
      <c r="H14">
        <v>24</v>
      </c>
      <c r="I14" s="4">
        <f t="shared" si="0"/>
        <v>8</v>
      </c>
      <c r="J14" s="4">
        <v>2</v>
      </c>
      <c r="K14" t="s">
        <v>97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63</v>
      </c>
      <c r="S14" t="s">
        <v>58</v>
      </c>
      <c r="T14" t="s">
        <v>409</v>
      </c>
      <c r="U14">
        <v>78</v>
      </c>
      <c r="V14">
        <v>12</v>
      </c>
      <c r="Y14">
        <v>24</v>
      </c>
      <c r="Z14">
        <f t="shared" si="3"/>
        <v>90</v>
      </c>
      <c r="AA14" t="s">
        <v>886</v>
      </c>
    </row>
    <row r="15" spans="1:27" x14ac:dyDescent="0.25">
      <c r="A15">
        <v>14</v>
      </c>
      <c r="B15" t="s">
        <v>431</v>
      </c>
      <c r="C15" t="s">
        <v>84</v>
      </c>
      <c r="D15" t="s">
        <v>432</v>
      </c>
      <c r="E15" t="s">
        <v>53</v>
      </c>
      <c r="F15" s="5">
        <v>45697</v>
      </c>
      <c r="G15">
        <v>3</v>
      </c>
      <c r="H15">
        <v>3</v>
      </c>
      <c r="I15" s="4">
        <f t="shared" si="0"/>
        <v>4</v>
      </c>
      <c r="J15" s="4">
        <v>2</v>
      </c>
      <c r="K15" t="s">
        <v>97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63</v>
      </c>
      <c r="S15" t="s">
        <v>58</v>
      </c>
      <c r="T15" t="s">
        <v>69</v>
      </c>
      <c r="U15">
        <v>6</v>
      </c>
      <c r="V15">
        <v>6</v>
      </c>
      <c r="Y15">
        <v>12</v>
      </c>
      <c r="Z15">
        <f t="shared" si="3"/>
        <v>12</v>
      </c>
      <c r="AA15" t="s">
        <v>887</v>
      </c>
    </row>
    <row r="16" spans="1:27" x14ac:dyDescent="0.25">
      <c r="A16">
        <v>15</v>
      </c>
      <c r="B16" t="s">
        <v>249</v>
      </c>
      <c r="C16" t="s">
        <v>75</v>
      </c>
      <c r="D16" t="s">
        <v>315</v>
      </c>
      <c r="E16" t="s">
        <v>76</v>
      </c>
      <c r="F16" s="5" t="s">
        <v>92</v>
      </c>
      <c r="G16">
        <v>4</v>
      </c>
      <c r="H16">
        <v>12</v>
      </c>
      <c r="I16" s="4">
        <f t="shared" si="0"/>
        <v>9</v>
      </c>
      <c r="J16" s="4">
        <v>5</v>
      </c>
      <c r="K16" t="s">
        <v>97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63</v>
      </c>
      <c r="S16" t="s">
        <v>58</v>
      </c>
      <c r="T16" t="s">
        <v>69</v>
      </c>
      <c r="U16">
        <v>30</v>
      </c>
      <c r="V16">
        <v>15</v>
      </c>
      <c r="X16">
        <v>3</v>
      </c>
      <c r="Y16">
        <v>36</v>
      </c>
      <c r="Z16">
        <f t="shared" si="3"/>
        <v>48</v>
      </c>
      <c r="AA16" t="s">
        <v>888</v>
      </c>
    </row>
    <row r="17" spans="1:27" x14ac:dyDescent="0.25">
      <c r="A17">
        <v>16</v>
      </c>
      <c r="B17" t="s">
        <v>250</v>
      </c>
      <c r="C17" t="s">
        <v>75</v>
      </c>
      <c r="D17" t="s">
        <v>316</v>
      </c>
      <c r="E17" t="s">
        <v>76</v>
      </c>
      <c r="F17" s="5" t="s">
        <v>92</v>
      </c>
      <c r="G17">
        <v>3</v>
      </c>
      <c r="H17">
        <v>28</v>
      </c>
      <c r="I17" s="4">
        <f t="shared" si="0"/>
        <v>12</v>
      </c>
      <c r="J17" s="4">
        <v>1</v>
      </c>
      <c r="K17" t="s">
        <v>97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74</v>
      </c>
      <c r="S17" t="s">
        <v>58</v>
      </c>
      <c r="U17">
        <v>35</v>
      </c>
      <c r="V17">
        <v>10</v>
      </c>
      <c r="W17">
        <v>6</v>
      </c>
      <c r="X17">
        <v>2</v>
      </c>
      <c r="Y17">
        <v>36</v>
      </c>
      <c r="Z17">
        <f t="shared" si="3"/>
        <v>53</v>
      </c>
      <c r="AA17" t="s">
        <v>888</v>
      </c>
    </row>
    <row r="18" spans="1:27" x14ac:dyDescent="0.25">
      <c r="A18">
        <v>17</v>
      </c>
      <c r="B18" t="s">
        <v>433</v>
      </c>
      <c r="C18" t="s">
        <v>51</v>
      </c>
      <c r="D18" t="s">
        <v>434</v>
      </c>
      <c r="E18" t="s">
        <v>53</v>
      </c>
      <c r="F18" s="5" t="s">
        <v>435</v>
      </c>
      <c r="G18">
        <v>3</v>
      </c>
      <c r="H18">
        <v>30</v>
      </c>
      <c r="I18" s="4">
        <f t="shared" si="0"/>
        <v>4</v>
      </c>
      <c r="J18" s="4">
        <v>3</v>
      </c>
      <c r="K18" t="s">
        <v>61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74</v>
      </c>
      <c r="S18" t="s">
        <v>58</v>
      </c>
      <c r="T18" t="s">
        <v>64</v>
      </c>
      <c r="U18">
        <v>115</v>
      </c>
      <c r="V18">
        <v>48</v>
      </c>
      <c r="Y18">
        <v>12</v>
      </c>
      <c r="Z18">
        <f t="shared" si="3"/>
        <v>163</v>
      </c>
      <c r="AA18" t="s">
        <v>878</v>
      </c>
    </row>
    <row r="19" spans="1:27" x14ac:dyDescent="0.25">
      <c r="A19">
        <v>18</v>
      </c>
      <c r="B19" t="s">
        <v>436</v>
      </c>
      <c r="C19" t="s">
        <v>84</v>
      </c>
      <c r="D19" t="s">
        <v>437</v>
      </c>
      <c r="E19" t="s">
        <v>53</v>
      </c>
      <c r="F19" s="5" t="s">
        <v>438</v>
      </c>
      <c r="G19">
        <v>3</v>
      </c>
      <c r="H19">
        <v>9</v>
      </c>
      <c r="I19" s="4">
        <f t="shared" si="0"/>
        <v>4</v>
      </c>
      <c r="J19" s="4">
        <v>15</v>
      </c>
      <c r="K19" t="s">
        <v>93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74</v>
      </c>
      <c r="S19" t="s">
        <v>58</v>
      </c>
      <c r="U19">
        <v>32</v>
      </c>
      <c r="Y19">
        <v>12</v>
      </c>
      <c r="Z19">
        <f t="shared" si="3"/>
        <v>32</v>
      </c>
      <c r="AA19" t="s">
        <v>889</v>
      </c>
    </row>
    <row r="20" spans="1:27" x14ac:dyDescent="0.25">
      <c r="A20">
        <v>19</v>
      </c>
      <c r="B20" t="s">
        <v>439</v>
      </c>
      <c r="C20" t="s">
        <v>51</v>
      </c>
      <c r="D20" t="s">
        <v>440</v>
      </c>
      <c r="E20" t="s">
        <v>53</v>
      </c>
      <c r="F20" s="5" t="s">
        <v>441</v>
      </c>
      <c r="G20">
        <v>1</v>
      </c>
      <c r="H20">
        <v>15</v>
      </c>
      <c r="I20" s="4">
        <f t="shared" si="0"/>
        <v>12</v>
      </c>
      <c r="J20" s="4">
        <v>2</v>
      </c>
      <c r="K20" t="s">
        <v>55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63</v>
      </c>
      <c r="S20" t="s">
        <v>405</v>
      </c>
      <c r="T20" t="s">
        <v>410</v>
      </c>
      <c r="U20">
        <v>207</v>
      </c>
      <c r="V20">
        <v>6</v>
      </c>
      <c r="W20">
        <v>193</v>
      </c>
      <c r="X20">
        <v>2</v>
      </c>
      <c r="Y20">
        <v>12</v>
      </c>
      <c r="Z20">
        <f t="shared" si="3"/>
        <v>408</v>
      </c>
      <c r="AA20" t="s">
        <v>890</v>
      </c>
    </row>
    <row r="21" spans="1:27" x14ac:dyDescent="0.25">
      <c r="A21">
        <v>20</v>
      </c>
      <c r="B21" t="s">
        <v>98</v>
      </c>
      <c r="C21" t="s">
        <v>75</v>
      </c>
      <c r="D21" t="s">
        <v>99</v>
      </c>
      <c r="E21" t="s">
        <v>76</v>
      </c>
      <c r="F21" s="5" t="s">
        <v>369</v>
      </c>
      <c r="G21">
        <v>2</v>
      </c>
      <c r="H21">
        <v>9</v>
      </c>
      <c r="I21" s="4">
        <f t="shared" si="0"/>
        <v>18</v>
      </c>
      <c r="J21" s="4">
        <v>10</v>
      </c>
      <c r="K21" t="s">
        <v>97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63</v>
      </c>
      <c r="S21" t="s">
        <v>58</v>
      </c>
      <c r="T21" t="s">
        <v>239</v>
      </c>
      <c r="U21">
        <v>336</v>
      </c>
      <c r="V21">
        <v>78</v>
      </c>
      <c r="W21">
        <v>24</v>
      </c>
      <c r="X21">
        <v>15</v>
      </c>
      <c r="Y21">
        <v>36</v>
      </c>
      <c r="Z21">
        <f t="shared" si="3"/>
        <v>453</v>
      </c>
      <c r="AA21" t="s">
        <v>891</v>
      </c>
    </row>
    <row r="22" spans="1:27" x14ac:dyDescent="0.25">
      <c r="A22">
        <v>21</v>
      </c>
      <c r="B22" t="s">
        <v>442</v>
      </c>
      <c r="C22" t="s">
        <v>51</v>
      </c>
      <c r="D22" t="s">
        <v>443</v>
      </c>
      <c r="E22" t="s">
        <v>53</v>
      </c>
      <c r="F22" s="5" t="s">
        <v>444</v>
      </c>
      <c r="G22">
        <v>4</v>
      </c>
      <c r="H22">
        <v>16</v>
      </c>
      <c r="I22" s="4">
        <f t="shared" si="0"/>
        <v>3</v>
      </c>
      <c r="J22" s="4">
        <v>6</v>
      </c>
      <c r="K22" t="s">
        <v>97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63</v>
      </c>
      <c r="S22" t="s">
        <v>58</v>
      </c>
      <c r="U22">
        <v>25</v>
      </c>
      <c r="V22">
        <v>11</v>
      </c>
      <c r="Y22">
        <v>12</v>
      </c>
      <c r="Z22">
        <f t="shared" si="3"/>
        <v>36</v>
      </c>
    </row>
    <row r="23" spans="1:27" x14ac:dyDescent="0.25">
      <c r="A23">
        <v>22</v>
      </c>
      <c r="B23" t="s">
        <v>445</v>
      </c>
      <c r="C23" t="s">
        <v>51</v>
      </c>
      <c r="D23" t="s">
        <v>446</v>
      </c>
      <c r="E23" t="s">
        <v>53</v>
      </c>
      <c r="F23" s="5" t="s">
        <v>447</v>
      </c>
      <c r="G23">
        <v>3</v>
      </c>
      <c r="H23">
        <v>6</v>
      </c>
      <c r="I23" s="4">
        <f t="shared" si="0"/>
        <v>4</v>
      </c>
      <c r="J23" s="4">
        <v>4</v>
      </c>
      <c r="K23" t="s">
        <v>97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63</v>
      </c>
      <c r="S23" t="s">
        <v>58</v>
      </c>
      <c r="U23">
        <v>86</v>
      </c>
      <c r="V23">
        <v>35</v>
      </c>
      <c r="W23">
        <v>6</v>
      </c>
      <c r="X23">
        <v>3</v>
      </c>
      <c r="Y23">
        <v>12</v>
      </c>
      <c r="Z23">
        <f t="shared" si="3"/>
        <v>130</v>
      </c>
      <c r="AA23" t="s">
        <v>883</v>
      </c>
    </row>
    <row r="24" spans="1:27" x14ac:dyDescent="0.25">
      <c r="A24">
        <v>23</v>
      </c>
      <c r="B24" t="s">
        <v>448</v>
      </c>
      <c r="C24" t="s">
        <v>84</v>
      </c>
      <c r="D24" t="s">
        <v>449</v>
      </c>
      <c r="E24" t="s">
        <v>100</v>
      </c>
      <c r="F24" s="5" t="s">
        <v>90</v>
      </c>
      <c r="G24">
        <v>3</v>
      </c>
      <c r="H24">
        <v>12</v>
      </c>
      <c r="I24" s="4">
        <f t="shared" si="0"/>
        <v>4</v>
      </c>
      <c r="J24" s="4">
        <v>17</v>
      </c>
      <c r="K24" t="s">
        <v>97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63</v>
      </c>
      <c r="S24" t="s">
        <v>58</v>
      </c>
      <c r="T24" t="s">
        <v>69</v>
      </c>
      <c r="U24">
        <v>250</v>
      </c>
      <c r="V24">
        <v>59</v>
      </c>
      <c r="W24">
        <v>0</v>
      </c>
      <c r="X24">
        <v>2</v>
      </c>
      <c r="Y24">
        <v>12</v>
      </c>
      <c r="Z24">
        <f t="shared" si="3"/>
        <v>311</v>
      </c>
      <c r="AA24" t="s">
        <v>100</v>
      </c>
    </row>
    <row r="25" spans="1:27" x14ac:dyDescent="0.25">
      <c r="A25">
        <v>24</v>
      </c>
      <c r="B25" t="s">
        <v>450</v>
      </c>
      <c r="C25" t="s">
        <v>84</v>
      </c>
      <c r="D25" t="s">
        <v>451</v>
      </c>
      <c r="E25" t="s">
        <v>53</v>
      </c>
      <c r="F25" s="5">
        <v>46268</v>
      </c>
      <c r="G25">
        <v>3</v>
      </c>
      <c r="H25">
        <v>3</v>
      </c>
      <c r="I25" s="4">
        <f t="shared" si="0"/>
        <v>4</v>
      </c>
      <c r="J25" s="4">
        <v>33</v>
      </c>
      <c r="K25" t="s">
        <v>55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63</v>
      </c>
      <c r="T25" t="s">
        <v>409</v>
      </c>
      <c r="U25">
        <v>5</v>
      </c>
      <c r="W25">
        <v>5</v>
      </c>
      <c r="Y25">
        <v>12</v>
      </c>
      <c r="Z25">
        <f t="shared" si="3"/>
        <v>10</v>
      </c>
      <c r="AA25" t="s">
        <v>887</v>
      </c>
    </row>
    <row r="26" spans="1:27" x14ac:dyDescent="0.25">
      <c r="A26">
        <v>25</v>
      </c>
      <c r="B26" t="s">
        <v>452</v>
      </c>
      <c r="C26" t="s">
        <v>75</v>
      </c>
      <c r="D26" t="s">
        <v>453</v>
      </c>
      <c r="E26" t="s">
        <v>76</v>
      </c>
      <c r="F26" s="5" t="s">
        <v>454</v>
      </c>
      <c r="G26">
        <v>3</v>
      </c>
      <c r="H26">
        <v>3</v>
      </c>
      <c r="I26" s="4">
        <f t="shared" si="0"/>
        <v>4</v>
      </c>
      <c r="J26" s="4">
        <v>18</v>
      </c>
      <c r="K26" t="s">
        <v>97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63</v>
      </c>
      <c r="S26" t="s">
        <v>58</v>
      </c>
      <c r="T26" t="s">
        <v>409</v>
      </c>
      <c r="U26">
        <v>15</v>
      </c>
      <c r="V26">
        <v>5</v>
      </c>
      <c r="X26">
        <v>2</v>
      </c>
      <c r="Y26">
        <v>12</v>
      </c>
      <c r="Z26">
        <f t="shared" si="3"/>
        <v>22</v>
      </c>
      <c r="AA26" t="s">
        <v>892</v>
      </c>
    </row>
    <row r="27" spans="1:27" x14ac:dyDescent="0.25">
      <c r="A27">
        <v>26</v>
      </c>
      <c r="B27" t="s">
        <v>455</v>
      </c>
      <c r="C27" t="s">
        <v>51</v>
      </c>
      <c r="D27" t="s">
        <v>456</v>
      </c>
      <c r="E27" t="s">
        <v>53</v>
      </c>
      <c r="F27" s="5">
        <v>46207</v>
      </c>
      <c r="G27">
        <v>2</v>
      </c>
      <c r="H27">
        <v>56</v>
      </c>
      <c r="I27" s="4">
        <f t="shared" si="0"/>
        <v>6</v>
      </c>
      <c r="J27" s="4">
        <v>12</v>
      </c>
      <c r="K27" t="s">
        <v>61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63</v>
      </c>
      <c r="S27" t="s">
        <v>406</v>
      </c>
      <c r="T27" t="s">
        <v>69</v>
      </c>
      <c r="U27">
        <v>356</v>
      </c>
      <c r="W27">
        <v>125</v>
      </c>
      <c r="X27">
        <v>1</v>
      </c>
      <c r="Y27">
        <v>12</v>
      </c>
      <c r="Z27">
        <f t="shared" si="3"/>
        <v>482</v>
      </c>
      <c r="AA27" t="s">
        <v>893</v>
      </c>
    </row>
    <row r="28" spans="1:27" x14ac:dyDescent="0.25">
      <c r="A28">
        <v>27</v>
      </c>
      <c r="B28" t="s">
        <v>457</v>
      </c>
      <c r="C28" t="s">
        <v>458</v>
      </c>
      <c r="D28" t="s">
        <v>459</v>
      </c>
      <c r="E28" t="s">
        <v>53</v>
      </c>
      <c r="F28" s="5" t="s">
        <v>72</v>
      </c>
      <c r="G28">
        <v>3</v>
      </c>
      <c r="H28">
        <v>24</v>
      </c>
      <c r="I28" s="4">
        <f t="shared" si="0"/>
        <v>4</v>
      </c>
      <c r="J28" s="4">
        <v>24</v>
      </c>
      <c r="K28" t="s">
        <v>61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63</v>
      </c>
      <c r="S28" t="s">
        <v>58</v>
      </c>
      <c r="T28" t="s">
        <v>64</v>
      </c>
      <c r="U28">
        <v>66</v>
      </c>
      <c r="V28">
        <v>32</v>
      </c>
      <c r="W28">
        <v>8</v>
      </c>
      <c r="Y28">
        <v>12</v>
      </c>
      <c r="Z28">
        <f t="shared" si="3"/>
        <v>106</v>
      </c>
      <c r="AA28" t="s">
        <v>894</v>
      </c>
    </row>
    <row r="29" spans="1:27" x14ac:dyDescent="0.25">
      <c r="A29">
        <v>28</v>
      </c>
      <c r="B29" t="s">
        <v>460</v>
      </c>
      <c r="C29" t="s">
        <v>84</v>
      </c>
      <c r="D29" t="s">
        <v>461</v>
      </c>
      <c r="E29" t="s">
        <v>53</v>
      </c>
      <c r="F29" s="5" t="s">
        <v>462</v>
      </c>
      <c r="G29">
        <v>3</v>
      </c>
      <c r="H29">
        <v>2</v>
      </c>
      <c r="I29" s="4">
        <f t="shared" si="0"/>
        <v>4</v>
      </c>
      <c r="J29" s="4">
        <v>4</v>
      </c>
      <c r="K29" t="s">
        <v>67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63</v>
      </c>
      <c r="S29" t="s">
        <v>58</v>
      </c>
      <c r="T29" t="s">
        <v>64</v>
      </c>
      <c r="U29">
        <v>9</v>
      </c>
      <c r="V29">
        <v>1</v>
      </c>
      <c r="W29">
        <v>1</v>
      </c>
      <c r="X29">
        <v>1</v>
      </c>
      <c r="Y29">
        <v>12</v>
      </c>
      <c r="Z29">
        <f t="shared" si="3"/>
        <v>12</v>
      </c>
      <c r="AA29" t="s">
        <v>895</v>
      </c>
    </row>
    <row r="30" spans="1:27" x14ac:dyDescent="0.25">
      <c r="A30">
        <v>29</v>
      </c>
      <c r="B30" t="s">
        <v>251</v>
      </c>
      <c r="C30" t="s">
        <v>84</v>
      </c>
      <c r="D30" t="s">
        <v>317</v>
      </c>
      <c r="E30" t="s">
        <v>53</v>
      </c>
      <c r="F30" s="5" t="s">
        <v>370</v>
      </c>
      <c r="G30">
        <v>4</v>
      </c>
      <c r="H30">
        <v>4</v>
      </c>
      <c r="I30" s="4">
        <f t="shared" si="0"/>
        <v>3</v>
      </c>
      <c r="J30" s="4">
        <v>1</v>
      </c>
      <c r="K30" t="s">
        <v>97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63</v>
      </c>
      <c r="S30" t="s">
        <v>58</v>
      </c>
      <c r="T30" t="s">
        <v>96</v>
      </c>
      <c r="U30">
        <v>8</v>
      </c>
      <c r="V30">
        <v>1</v>
      </c>
      <c r="X30">
        <v>1</v>
      </c>
      <c r="Y30">
        <v>12</v>
      </c>
      <c r="Z30">
        <f t="shared" si="3"/>
        <v>10</v>
      </c>
      <c r="AA30" t="s">
        <v>895</v>
      </c>
    </row>
    <row r="31" spans="1:27" x14ac:dyDescent="0.25">
      <c r="A31">
        <v>30</v>
      </c>
      <c r="B31" t="s">
        <v>252</v>
      </c>
      <c r="C31" t="s">
        <v>84</v>
      </c>
      <c r="D31" t="s">
        <v>318</v>
      </c>
      <c r="E31" t="s">
        <v>53</v>
      </c>
      <c r="F31" s="5" t="s">
        <v>371</v>
      </c>
      <c r="G31">
        <v>2</v>
      </c>
      <c r="H31">
        <v>2</v>
      </c>
      <c r="I31" s="4">
        <f t="shared" si="0"/>
        <v>6</v>
      </c>
      <c r="J31" s="4">
        <v>2</v>
      </c>
      <c r="K31" t="s">
        <v>97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68</v>
      </c>
      <c r="S31" t="s">
        <v>58</v>
      </c>
      <c r="T31" t="s">
        <v>239</v>
      </c>
      <c r="U31">
        <v>27</v>
      </c>
      <c r="V31">
        <v>8</v>
      </c>
      <c r="Y31">
        <v>12</v>
      </c>
      <c r="Z31">
        <f t="shared" si="3"/>
        <v>35</v>
      </c>
      <c r="AA31" t="s">
        <v>884</v>
      </c>
    </row>
    <row r="32" spans="1:27" x14ac:dyDescent="0.25">
      <c r="A32">
        <v>31</v>
      </c>
      <c r="B32" t="s">
        <v>463</v>
      </c>
      <c r="C32" t="s">
        <v>84</v>
      </c>
      <c r="D32" t="s">
        <v>464</v>
      </c>
      <c r="E32" t="s">
        <v>53</v>
      </c>
      <c r="F32" s="5" t="s">
        <v>90</v>
      </c>
      <c r="G32">
        <v>4</v>
      </c>
      <c r="H32">
        <v>36</v>
      </c>
      <c r="I32" s="4">
        <f t="shared" si="0"/>
        <v>3</v>
      </c>
      <c r="J32" s="4">
        <v>9</v>
      </c>
      <c r="K32" t="s">
        <v>97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68</v>
      </c>
      <c r="S32" t="s">
        <v>58</v>
      </c>
      <c r="T32" t="s">
        <v>96</v>
      </c>
      <c r="U32">
        <v>245</v>
      </c>
      <c r="V32">
        <v>18</v>
      </c>
      <c r="W32">
        <v>33</v>
      </c>
      <c r="X32">
        <v>2</v>
      </c>
      <c r="Y32">
        <v>12</v>
      </c>
      <c r="Z32">
        <f t="shared" si="3"/>
        <v>298</v>
      </c>
      <c r="AA32" t="s">
        <v>881</v>
      </c>
    </row>
    <row r="33" spans="1:27" x14ac:dyDescent="0.25">
      <c r="A33">
        <v>32</v>
      </c>
      <c r="B33" t="s">
        <v>465</v>
      </c>
      <c r="C33" t="s">
        <v>84</v>
      </c>
      <c r="D33" t="s">
        <v>466</v>
      </c>
      <c r="E33" t="s">
        <v>53</v>
      </c>
      <c r="F33" s="5" t="s">
        <v>462</v>
      </c>
      <c r="G33">
        <v>2</v>
      </c>
      <c r="H33">
        <v>2</v>
      </c>
      <c r="I33" s="4">
        <f t="shared" si="0"/>
        <v>6</v>
      </c>
      <c r="J33" s="4">
        <v>0.05</v>
      </c>
      <c r="K33" t="s">
        <v>97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62</v>
      </c>
      <c r="R33" t="s">
        <v>74</v>
      </c>
      <c r="S33" t="s">
        <v>58</v>
      </c>
      <c r="T33" t="s">
        <v>64</v>
      </c>
      <c r="U33">
        <v>8</v>
      </c>
      <c r="V33">
        <v>1</v>
      </c>
      <c r="W33">
        <v>1</v>
      </c>
      <c r="X33">
        <v>1</v>
      </c>
      <c r="Y33">
        <v>12</v>
      </c>
      <c r="Z33">
        <f t="shared" si="3"/>
        <v>11</v>
      </c>
      <c r="AA33" t="s">
        <v>895</v>
      </c>
    </row>
    <row r="34" spans="1:27" x14ac:dyDescent="0.25">
      <c r="A34">
        <v>33</v>
      </c>
      <c r="B34" t="s">
        <v>253</v>
      </c>
      <c r="C34" t="s">
        <v>84</v>
      </c>
      <c r="D34" t="s">
        <v>319</v>
      </c>
      <c r="E34" t="s">
        <v>53</v>
      </c>
      <c r="F34" s="5" t="s">
        <v>371</v>
      </c>
      <c r="G34">
        <v>3</v>
      </c>
      <c r="H34">
        <v>9</v>
      </c>
      <c r="I34" s="4">
        <f t="shared" si="0"/>
        <v>4</v>
      </c>
      <c r="J34" s="4">
        <v>0.05</v>
      </c>
      <c r="K34" t="s">
        <v>97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62</v>
      </c>
      <c r="R34" t="s">
        <v>74</v>
      </c>
      <c r="S34" t="s">
        <v>58</v>
      </c>
      <c r="U34">
        <v>37</v>
      </c>
      <c r="V34">
        <v>11</v>
      </c>
      <c r="W34">
        <v>4</v>
      </c>
      <c r="Y34">
        <v>12</v>
      </c>
      <c r="Z34">
        <f t="shared" si="3"/>
        <v>52</v>
      </c>
      <c r="AA34" t="s">
        <v>884</v>
      </c>
    </row>
    <row r="35" spans="1:27" x14ac:dyDescent="0.25">
      <c r="A35">
        <v>34</v>
      </c>
      <c r="B35" t="s">
        <v>101</v>
      </c>
      <c r="C35" t="s">
        <v>75</v>
      </c>
      <c r="D35" t="s">
        <v>102</v>
      </c>
      <c r="E35" t="s">
        <v>76</v>
      </c>
      <c r="F35" s="5" t="s">
        <v>372</v>
      </c>
      <c r="G35">
        <v>4</v>
      </c>
      <c r="H35">
        <v>36</v>
      </c>
      <c r="I35" s="4">
        <f t="shared" si="0"/>
        <v>9</v>
      </c>
      <c r="J35" s="4">
        <v>0.05</v>
      </c>
      <c r="K35" t="s">
        <v>55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62</v>
      </c>
      <c r="R35" t="s">
        <v>74</v>
      </c>
      <c r="S35" t="s">
        <v>58</v>
      </c>
      <c r="T35" t="s">
        <v>96</v>
      </c>
      <c r="U35">
        <v>76</v>
      </c>
      <c r="V35">
        <v>26</v>
      </c>
      <c r="W35">
        <v>17</v>
      </c>
      <c r="X35">
        <v>12</v>
      </c>
      <c r="Y35">
        <v>36</v>
      </c>
      <c r="Z35">
        <f t="shared" si="3"/>
        <v>131</v>
      </c>
      <c r="AA35" t="s">
        <v>896</v>
      </c>
    </row>
    <row r="36" spans="1:27" x14ac:dyDescent="0.25">
      <c r="A36">
        <v>35</v>
      </c>
      <c r="B36" t="s">
        <v>254</v>
      </c>
      <c r="C36" t="s">
        <v>84</v>
      </c>
      <c r="D36" t="s">
        <v>320</v>
      </c>
      <c r="E36" t="s">
        <v>53</v>
      </c>
      <c r="F36" s="5">
        <v>46116</v>
      </c>
      <c r="G36">
        <v>2</v>
      </c>
      <c r="H36">
        <v>2</v>
      </c>
      <c r="I36" s="4">
        <f t="shared" si="0"/>
        <v>6</v>
      </c>
      <c r="J36" s="4">
        <v>0.05</v>
      </c>
      <c r="K36" t="s">
        <v>97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62</v>
      </c>
      <c r="R36" t="s">
        <v>74</v>
      </c>
      <c r="S36" t="s">
        <v>58</v>
      </c>
      <c r="T36" t="s">
        <v>239</v>
      </c>
      <c r="U36">
        <v>4</v>
      </c>
      <c r="W36">
        <v>4</v>
      </c>
      <c r="Y36">
        <v>12</v>
      </c>
      <c r="Z36">
        <f t="shared" si="3"/>
        <v>8</v>
      </c>
      <c r="AA36" t="s">
        <v>897</v>
      </c>
    </row>
    <row r="37" spans="1:27" x14ac:dyDescent="0.25">
      <c r="A37">
        <v>36</v>
      </c>
      <c r="B37" t="s">
        <v>103</v>
      </c>
      <c r="C37" t="s">
        <v>51</v>
      </c>
      <c r="D37" t="s">
        <v>104</v>
      </c>
      <c r="E37" t="s">
        <v>53</v>
      </c>
      <c r="F37" s="5" t="s">
        <v>90</v>
      </c>
      <c r="G37">
        <v>4</v>
      </c>
      <c r="H37">
        <v>36</v>
      </c>
      <c r="I37" s="4">
        <f t="shared" si="0"/>
        <v>3</v>
      </c>
      <c r="J37" s="4">
        <v>0.05</v>
      </c>
      <c r="K37" t="s">
        <v>61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62</v>
      </c>
      <c r="R37" t="s">
        <v>87</v>
      </c>
      <c r="S37" t="s">
        <v>58</v>
      </c>
      <c r="T37" t="s">
        <v>64</v>
      </c>
      <c r="V37">
        <v>22</v>
      </c>
      <c r="W37">
        <v>2</v>
      </c>
      <c r="X37">
        <v>2</v>
      </c>
      <c r="Y37">
        <v>12</v>
      </c>
      <c r="Z37">
        <f t="shared" si="3"/>
        <v>26</v>
      </c>
      <c r="AA37" t="s">
        <v>898</v>
      </c>
    </row>
    <row r="38" spans="1:27" x14ac:dyDescent="0.25">
      <c r="A38">
        <v>37</v>
      </c>
      <c r="B38" t="s">
        <v>255</v>
      </c>
      <c r="C38" t="s">
        <v>84</v>
      </c>
      <c r="D38" t="s">
        <v>321</v>
      </c>
      <c r="E38" t="s">
        <v>53</v>
      </c>
      <c r="F38" s="5">
        <v>46238</v>
      </c>
      <c r="G38">
        <v>2</v>
      </c>
      <c r="H38">
        <v>2</v>
      </c>
      <c r="I38" s="4">
        <f t="shared" si="0"/>
        <v>6</v>
      </c>
      <c r="J38" s="4">
        <v>0.05</v>
      </c>
      <c r="K38" t="s">
        <v>61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62</v>
      </c>
      <c r="R38" t="s">
        <v>87</v>
      </c>
      <c r="S38" t="s">
        <v>80</v>
      </c>
      <c r="T38" t="s">
        <v>64</v>
      </c>
      <c r="U38">
        <v>4</v>
      </c>
      <c r="W38">
        <v>4</v>
      </c>
      <c r="Y38">
        <v>12</v>
      </c>
      <c r="Z38">
        <f t="shared" si="3"/>
        <v>8</v>
      </c>
      <c r="AA38" t="s">
        <v>897</v>
      </c>
    </row>
    <row r="39" spans="1:27" x14ac:dyDescent="0.25">
      <c r="A39">
        <v>38</v>
      </c>
      <c r="B39" t="s">
        <v>256</v>
      </c>
      <c r="C39" t="s">
        <v>84</v>
      </c>
      <c r="D39" t="s">
        <v>322</v>
      </c>
      <c r="E39" t="s">
        <v>53</v>
      </c>
      <c r="F39" s="5" t="s">
        <v>373</v>
      </c>
      <c r="G39">
        <v>3</v>
      </c>
      <c r="H39">
        <v>15</v>
      </c>
      <c r="I39" s="4">
        <f t="shared" si="0"/>
        <v>4</v>
      </c>
      <c r="J39" s="4">
        <v>0.05</v>
      </c>
      <c r="K39" t="s">
        <v>97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62</v>
      </c>
      <c r="R39" t="s">
        <v>87</v>
      </c>
      <c r="S39" t="s">
        <v>58</v>
      </c>
      <c r="T39" t="s">
        <v>243</v>
      </c>
      <c r="U39">
        <v>85</v>
      </c>
      <c r="V39">
        <v>15</v>
      </c>
      <c r="X39">
        <v>2</v>
      </c>
      <c r="Y39">
        <v>12</v>
      </c>
      <c r="Z39">
        <f t="shared" si="3"/>
        <v>102</v>
      </c>
      <c r="AA39" t="s">
        <v>883</v>
      </c>
    </row>
    <row r="40" spans="1:27" x14ac:dyDescent="0.25">
      <c r="A40">
        <v>39</v>
      </c>
      <c r="B40" t="s">
        <v>257</v>
      </c>
      <c r="C40" t="s">
        <v>84</v>
      </c>
      <c r="D40" t="s">
        <v>323</v>
      </c>
      <c r="E40" t="s">
        <v>53</v>
      </c>
      <c r="F40" s="5">
        <v>46269</v>
      </c>
      <c r="G40">
        <v>2</v>
      </c>
      <c r="H40">
        <v>2</v>
      </c>
      <c r="I40" s="4">
        <f t="shared" si="0"/>
        <v>6</v>
      </c>
      <c r="J40" s="4">
        <v>0.05</v>
      </c>
      <c r="K40" t="s">
        <v>97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62</v>
      </c>
      <c r="R40" t="s">
        <v>87</v>
      </c>
      <c r="S40" t="s">
        <v>58</v>
      </c>
      <c r="T40" t="s">
        <v>243</v>
      </c>
      <c r="U40">
        <v>4</v>
      </c>
      <c r="W40">
        <v>4</v>
      </c>
      <c r="Y40">
        <v>12</v>
      </c>
      <c r="Z40">
        <f t="shared" si="3"/>
        <v>8</v>
      </c>
      <c r="AA40" t="s">
        <v>899</v>
      </c>
    </row>
    <row r="41" spans="1:27" x14ac:dyDescent="0.25">
      <c r="A41">
        <v>40</v>
      </c>
      <c r="B41" t="s">
        <v>258</v>
      </c>
      <c r="C41" t="s">
        <v>84</v>
      </c>
      <c r="D41" t="s">
        <v>324</v>
      </c>
      <c r="E41" t="s">
        <v>53</v>
      </c>
      <c r="F41" s="5">
        <v>46269</v>
      </c>
      <c r="G41">
        <v>3</v>
      </c>
      <c r="H41">
        <v>15</v>
      </c>
      <c r="I41" s="4">
        <f t="shared" si="0"/>
        <v>4</v>
      </c>
      <c r="J41" s="4">
        <v>0.05</v>
      </c>
      <c r="K41" t="s">
        <v>97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88</v>
      </c>
      <c r="S41" t="s">
        <v>407</v>
      </c>
      <c r="T41" t="s">
        <v>411</v>
      </c>
      <c r="U41">
        <v>92</v>
      </c>
      <c r="V41">
        <v>15</v>
      </c>
      <c r="X41">
        <v>1</v>
      </c>
      <c r="Y41">
        <v>12</v>
      </c>
      <c r="Z41">
        <f t="shared" si="3"/>
        <v>108</v>
      </c>
      <c r="AA41" t="s">
        <v>883</v>
      </c>
    </row>
    <row r="42" spans="1:27" x14ac:dyDescent="0.25">
      <c r="A42">
        <v>41</v>
      </c>
      <c r="B42" t="s">
        <v>259</v>
      </c>
      <c r="C42" t="s">
        <v>84</v>
      </c>
      <c r="D42" t="s">
        <v>325</v>
      </c>
      <c r="E42" t="s">
        <v>53</v>
      </c>
      <c r="F42" s="5">
        <v>46360</v>
      </c>
      <c r="G42">
        <v>3</v>
      </c>
      <c r="H42">
        <v>2</v>
      </c>
      <c r="I42" s="4">
        <f t="shared" si="0"/>
        <v>4</v>
      </c>
      <c r="J42" s="4">
        <v>0.05</v>
      </c>
      <c r="K42" t="s">
        <v>97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88</v>
      </c>
      <c r="S42" t="s">
        <v>58</v>
      </c>
      <c r="T42" t="s">
        <v>239</v>
      </c>
      <c r="U42">
        <v>7</v>
      </c>
      <c r="W42">
        <v>7</v>
      </c>
      <c r="Y42">
        <v>12</v>
      </c>
      <c r="Z42">
        <f t="shared" si="3"/>
        <v>14</v>
      </c>
      <c r="AA42" t="s">
        <v>900</v>
      </c>
    </row>
    <row r="43" spans="1:27" x14ac:dyDescent="0.25">
      <c r="A43">
        <v>42</v>
      </c>
      <c r="B43" t="s">
        <v>260</v>
      </c>
      <c r="C43" t="s">
        <v>84</v>
      </c>
      <c r="D43" t="s">
        <v>326</v>
      </c>
      <c r="E43" t="s">
        <v>53</v>
      </c>
      <c r="F43" s="5">
        <v>46330</v>
      </c>
      <c r="G43">
        <v>3</v>
      </c>
      <c r="H43">
        <v>2</v>
      </c>
      <c r="I43" s="4">
        <f t="shared" si="0"/>
        <v>4</v>
      </c>
      <c r="J43" s="4">
        <v>0.05</v>
      </c>
      <c r="K43" t="s">
        <v>55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88</v>
      </c>
      <c r="S43" t="s">
        <v>58</v>
      </c>
      <c r="T43" t="s">
        <v>243</v>
      </c>
      <c r="U43">
        <v>4</v>
      </c>
      <c r="W43">
        <v>4</v>
      </c>
      <c r="Y43">
        <v>12</v>
      </c>
      <c r="Z43">
        <f t="shared" si="3"/>
        <v>8</v>
      </c>
      <c r="AA43" t="s">
        <v>901</v>
      </c>
    </row>
    <row r="44" spans="1:27" x14ac:dyDescent="0.25">
      <c r="A44">
        <v>43</v>
      </c>
      <c r="B44" t="s">
        <v>105</v>
      </c>
      <c r="C44" t="s">
        <v>75</v>
      </c>
      <c r="D44" t="s">
        <v>106</v>
      </c>
      <c r="E44" t="s">
        <v>76</v>
      </c>
      <c r="F44" s="5" t="s">
        <v>90</v>
      </c>
      <c r="G44">
        <v>1</v>
      </c>
      <c r="H44">
        <v>1</v>
      </c>
      <c r="I44" s="4">
        <f t="shared" si="0"/>
        <v>1</v>
      </c>
      <c r="J44" s="4">
        <v>0.05</v>
      </c>
      <c r="K44" t="s">
        <v>61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91</v>
      </c>
      <c r="S44" t="s">
        <v>408</v>
      </c>
      <c r="T44" t="s">
        <v>412</v>
      </c>
      <c r="U44">
        <v>10</v>
      </c>
      <c r="V44">
        <v>6</v>
      </c>
      <c r="Y44">
        <v>1</v>
      </c>
      <c r="Z44">
        <f t="shared" si="3"/>
        <v>16</v>
      </c>
      <c r="AA44" t="s">
        <v>902</v>
      </c>
    </row>
    <row r="45" spans="1:27" x14ac:dyDescent="0.25">
      <c r="A45">
        <v>44</v>
      </c>
      <c r="B45" t="s">
        <v>261</v>
      </c>
      <c r="C45" t="s">
        <v>75</v>
      </c>
      <c r="D45" t="s">
        <v>327</v>
      </c>
      <c r="E45" t="s">
        <v>76</v>
      </c>
      <c r="F45" s="5" t="s">
        <v>92</v>
      </c>
      <c r="G45">
        <v>4</v>
      </c>
      <c r="H45">
        <v>8</v>
      </c>
      <c r="I45" s="4">
        <f t="shared" si="0"/>
        <v>7.5</v>
      </c>
      <c r="J45" s="4">
        <v>0.05</v>
      </c>
      <c r="K45" t="s">
        <v>401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91</v>
      </c>
      <c r="T45" t="s">
        <v>413</v>
      </c>
      <c r="U45">
        <v>20</v>
      </c>
      <c r="V45">
        <v>7</v>
      </c>
      <c r="X45">
        <v>1</v>
      </c>
      <c r="Y45">
        <v>30</v>
      </c>
      <c r="Z45">
        <f t="shared" si="3"/>
        <v>28</v>
      </c>
      <c r="AA45" t="s">
        <v>888</v>
      </c>
    </row>
    <row r="46" spans="1:27" x14ac:dyDescent="0.25">
      <c r="A46">
        <v>45</v>
      </c>
      <c r="B46" t="s">
        <v>467</v>
      </c>
      <c r="C46" t="s">
        <v>51</v>
      </c>
      <c r="D46" t="s">
        <v>468</v>
      </c>
      <c r="E46" t="s">
        <v>53</v>
      </c>
      <c r="F46" s="5">
        <v>46268</v>
      </c>
      <c r="G46">
        <v>3</v>
      </c>
      <c r="H46">
        <v>56</v>
      </c>
      <c r="I46" s="4">
        <f t="shared" si="0"/>
        <v>4</v>
      </c>
      <c r="J46" s="4">
        <v>0.05</v>
      </c>
      <c r="K46" t="s">
        <v>97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91</v>
      </c>
      <c r="S46" t="s">
        <v>58</v>
      </c>
      <c r="T46" t="s">
        <v>239</v>
      </c>
      <c r="U46">
        <v>220</v>
      </c>
      <c r="V46">
        <v>12</v>
      </c>
      <c r="W46">
        <v>179</v>
      </c>
      <c r="Y46">
        <v>12</v>
      </c>
      <c r="Z46">
        <f t="shared" si="3"/>
        <v>411</v>
      </c>
      <c r="AA46" t="s">
        <v>903</v>
      </c>
    </row>
    <row r="47" spans="1:27" x14ac:dyDescent="0.25">
      <c r="A47">
        <v>46</v>
      </c>
      <c r="B47" t="s">
        <v>469</v>
      </c>
      <c r="C47" t="s">
        <v>51</v>
      </c>
      <c r="F47" s="5" t="s">
        <v>374</v>
      </c>
      <c r="I47" s="4" t="e">
        <f t="shared" si="0"/>
        <v>#DIV/0!</v>
      </c>
      <c r="J47" s="4">
        <v>0.05</v>
      </c>
      <c r="K47" t="s">
        <v>97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62</v>
      </c>
      <c r="R47" t="s">
        <v>87</v>
      </c>
      <c r="S47" t="s">
        <v>58</v>
      </c>
      <c r="T47" t="s">
        <v>239</v>
      </c>
      <c r="U47">
        <v>33</v>
      </c>
      <c r="V47">
        <v>8</v>
      </c>
      <c r="W47">
        <v>7</v>
      </c>
      <c r="X47">
        <v>26</v>
      </c>
      <c r="Z47">
        <f t="shared" si="3"/>
        <v>74</v>
      </c>
    </row>
    <row r="48" spans="1:27" x14ac:dyDescent="0.25">
      <c r="A48">
        <v>47</v>
      </c>
      <c r="B48" t="s">
        <v>107</v>
      </c>
      <c r="C48" t="s">
        <v>84</v>
      </c>
      <c r="D48" t="s">
        <v>108</v>
      </c>
      <c r="E48" t="s">
        <v>53</v>
      </c>
      <c r="F48" s="5" t="s">
        <v>374</v>
      </c>
      <c r="G48">
        <v>4</v>
      </c>
      <c r="H48">
        <v>16</v>
      </c>
      <c r="I48" s="4">
        <f t="shared" si="0"/>
        <v>3</v>
      </c>
      <c r="J48" s="4">
        <v>0.05</v>
      </c>
      <c r="K48" t="s">
        <v>97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62</v>
      </c>
      <c r="R48" t="s">
        <v>87</v>
      </c>
      <c r="S48" t="s">
        <v>58</v>
      </c>
      <c r="T48" t="s">
        <v>96</v>
      </c>
      <c r="U48">
        <v>42</v>
      </c>
      <c r="V48">
        <v>13</v>
      </c>
      <c r="X48">
        <v>1</v>
      </c>
      <c r="Y48">
        <v>12</v>
      </c>
      <c r="Z48">
        <f t="shared" si="3"/>
        <v>56</v>
      </c>
      <c r="AA48" t="s">
        <v>884</v>
      </c>
    </row>
    <row r="49" spans="1:27" x14ac:dyDescent="0.25">
      <c r="A49">
        <v>48</v>
      </c>
      <c r="B49" t="s">
        <v>262</v>
      </c>
      <c r="C49" t="s">
        <v>84</v>
      </c>
      <c r="D49" t="s">
        <v>328</v>
      </c>
      <c r="E49" t="s">
        <v>53</v>
      </c>
      <c r="F49" s="5" t="s">
        <v>375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61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62</v>
      </c>
      <c r="R49" t="s">
        <v>87</v>
      </c>
      <c r="S49" t="s">
        <v>407</v>
      </c>
      <c r="T49" t="s">
        <v>64</v>
      </c>
      <c r="U49">
        <v>9</v>
      </c>
      <c r="V49">
        <v>1</v>
      </c>
      <c r="W49">
        <v>1</v>
      </c>
      <c r="X49">
        <v>1</v>
      </c>
      <c r="Y49">
        <v>12</v>
      </c>
      <c r="Z49">
        <f t="shared" si="3"/>
        <v>12</v>
      </c>
      <c r="AA49" t="s">
        <v>895</v>
      </c>
    </row>
    <row r="50" spans="1:27" x14ac:dyDescent="0.25">
      <c r="A50" s="6">
        <v>49</v>
      </c>
      <c r="B50" t="s">
        <v>263</v>
      </c>
      <c r="C50" t="s">
        <v>84</v>
      </c>
      <c r="D50" t="s">
        <v>329</v>
      </c>
      <c r="E50" t="s">
        <v>53</v>
      </c>
      <c r="F50" s="5" t="s">
        <v>376</v>
      </c>
      <c r="G50">
        <v>2</v>
      </c>
      <c r="H50">
        <v>2</v>
      </c>
      <c r="I50" s="4">
        <f t="shared" si="0"/>
        <v>6</v>
      </c>
      <c r="J50" s="4">
        <v>0.05</v>
      </c>
      <c r="K50" t="s">
        <v>402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94</v>
      </c>
      <c r="R50" t="s">
        <v>95</v>
      </c>
      <c r="S50" t="s">
        <v>58</v>
      </c>
      <c r="T50" t="s">
        <v>411</v>
      </c>
      <c r="U50">
        <v>8</v>
      </c>
      <c r="W50">
        <v>8</v>
      </c>
      <c r="Y50">
        <v>12</v>
      </c>
      <c r="Z50">
        <f t="shared" si="3"/>
        <v>16</v>
      </c>
      <c r="AA50" t="s">
        <v>895</v>
      </c>
    </row>
    <row r="51" spans="1:27" x14ac:dyDescent="0.25">
      <c r="A51">
        <v>50</v>
      </c>
      <c r="B51" t="s">
        <v>470</v>
      </c>
      <c r="C51" t="s">
        <v>84</v>
      </c>
      <c r="I51" s="4" t="e">
        <f t="shared" si="0"/>
        <v>#DIV/0!</v>
      </c>
      <c r="J51" s="4">
        <v>0.05</v>
      </c>
      <c r="K51" t="s">
        <v>97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94</v>
      </c>
      <c r="R51" t="s">
        <v>95</v>
      </c>
      <c r="S51" t="s">
        <v>58</v>
      </c>
      <c r="T51" t="s">
        <v>96</v>
      </c>
      <c r="U51">
        <v>4</v>
      </c>
      <c r="W51">
        <v>4</v>
      </c>
      <c r="Z51">
        <f t="shared" si="3"/>
        <v>8</v>
      </c>
    </row>
    <row r="52" spans="1:27" x14ac:dyDescent="0.25">
      <c r="A52">
        <v>51</v>
      </c>
      <c r="B52" t="s">
        <v>264</v>
      </c>
      <c r="C52" t="s">
        <v>84</v>
      </c>
      <c r="D52" t="s">
        <v>330</v>
      </c>
      <c r="E52" t="s">
        <v>53</v>
      </c>
      <c r="F52" s="5" t="s">
        <v>377</v>
      </c>
      <c r="G52">
        <v>3</v>
      </c>
      <c r="H52">
        <v>3</v>
      </c>
      <c r="I52" s="4">
        <f t="shared" si="0"/>
        <v>4</v>
      </c>
      <c r="J52" s="4">
        <v>0.05</v>
      </c>
      <c r="K52" t="s">
        <v>55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94</v>
      </c>
      <c r="R52" t="s">
        <v>95</v>
      </c>
      <c r="S52" t="s">
        <v>58</v>
      </c>
      <c r="T52" t="s">
        <v>69</v>
      </c>
      <c r="U52">
        <v>9</v>
      </c>
      <c r="V52">
        <v>1</v>
      </c>
      <c r="W52">
        <v>1</v>
      </c>
      <c r="X52">
        <v>1</v>
      </c>
      <c r="Y52">
        <v>12</v>
      </c>
      <c r="Z52">
        <f t="shared" si="3"/>
        <v>12</v>
      </c>
      <c r="AA52" t="s">
        <v>895</v>
      </c>
    </row>
    <row r="53" spans="1:27" x14ac:dyDescent="0.25">
      <c r="A53">
        <v>52</v>
      </c>
      <c r="B53" t="s">
        <v>265</v>
      </c>
      <c r="C53" t="s">
        <v>84</v>
      </c>
      <c r="D53" t="s">
        <v>331</v>
      </c>
      <c r="E53" t="s">
        <v>53</v>
      </c>
      <c r="F53" s="5" t="s">
        <v>378</v>
      </c>
      <c r="G53">
        <v>2</v>
      </c>
      <c r="H53">
        <v>6</v>
      </c>
      <c r="I53" s="4">
        <f t="shared" si="0"/>
        <v>6</v>
      </c>
      <c r="J53" s="4">
        <v>0.05</v>
      </c>
      <c r="K53" t="s">
        <v>55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94</v>
      </c>
      <c r="R53" t="s">
        <v>95</v>
      </c>
      <c r="S53" t="s">
        <v>58</v>
      </c>
      <c r="T53" t="s">
        <v>414</v>
      </c>
      <c r="U53">
        <v>33</v>
      </c>
      <c r="V53">
        <v>9</v>
      </c>
      <c r="X53">
        <v>2</v>
      </c>
      <c r="Y53">
        <v>12</v>
      </c>
      <c r="Z53">
        <f t="shared" si="3"/>
        <v>44</v>
      </c>
      <c r="AA53" t="s">
        <v>904</v>
      </c>
    </row>
    <row r="54" spans="1:27" x14ac:dyDescent="0.25">
      <c r="A54">
        <v>53</v>
      </c>
      <c r="B54" t="s">
        <v>266</v>
      </c>
      <c r="C54" t="s">
        <v>84</v>
      </c>
      <c r="D54" t="s">
        <v>332</v>
      </c>
      <c r="E54" t="s">
        <v>53</v>
      </c>
      <c r="F54" s="5" t="s">
        <v>379</v>
      </c>
      <c r="G54">
        <v>3</v>
      </c>
      <c r="H54">
        <v>3</v>
      </c>
      <c r="I54" s="4">
        <f t="shared" si="0"/>
        <v>4</v>
      </c>
      <c r="J54" s="4">
        <v>0.05</v>
      </c>
      <c r="K54" t="s">
        <v>61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94</v>
      </c>
      <c r="R54" t="s">
        <v>88</v>
      </c>
      <c r="S54" t="s">
        <v>407</v>
      </c>
      <c r="T54" t="s">
        <v>64</v>
      </c>
      <c r="U54">
        <v>5</v>
      </c>
      <c r="V54">
        <v>1</v>
      </c>
      <c r="X54">
        <v>1</v>
      </c>
      <c r="Y54">
        <v>12</v>
      </c>
      <c r="Z54">
        <f t="shared" si="3"/>
        <v>7</v>
      </c>
      <c r="AA54" t="s">
        <v>895</v>
      </c>
    </row>
    <row r="55" spans="1:27" x14ac:dyDescent="0.25">
      <c r="A55">
        <v>54</v>
      </c>
      <c r="B55" t="s">
        <v>267</v>
      </c>
      <c r="C55" t="s">
        <v>84</v>
      </c>
      <c r="D55" t="s">
        <v>333</v>
      </c>
      <c r="E55" t="s">
        <v>53</v>
      </c>
      <c r="F55" s="5" t="s">
        <v>378</v>
      </c>
      <c r="G55">
        <v>3</v>
      </c>
      <c r="H55">
        <v>3</v>
      </c>
      <c r="I55" s="4">
        <f t="shared" si="0"/>
        <v>4</v>
      </c>
      <c r="J55" s="4">
        <v>0.05</v>
      </c>
      <c r="K55" t="s">
        <v>97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94</v>
      </c>
      <c r="R55" t="s">
        <v>88</v>
      </c>
      <c r="S55" t="s">
        <v>58</v>
      </c>
      <c r="T55" t="s">
        <v>243</v>
      </c>
      <c r="U55">
        <v>6</v>
      </c>
      <c r="V55">
        <v>1</v>
      </c>
      <c r="W55">
        <v>1</v>
      </c>
      <c r="X55">
        <v>1</v>
      </c>
      <c r="Y55">
        <v>12</v>
      </c>
      <c r="Z55">
        <f t="shared" si="3"/>
        <v>9</v>
      </c>
      <c r="AA55" t="s">
        <v>895</v>
      </c>
    </row>
    <row r="56" spans="1:27" x14ac:dyDescent="0.25">
      <c r="A56">
        <v>55</v>
      </c>
      <c r="B56" t="s">
        <v>471</v>
      </c>
      <c r="C56" t="s">
        <v>51</v>
      </c>
      <c r="D56" t="s">
        <v>472</v>
      </c>
      <c r="E56" t="s">
        <v>53</v>
      </c>
      <c r="F56" s="5" t="s">
        <v>473</v>
      </c>
      <c r="G56">
        <v>4</v>
      </c>
      <c r="H56">
        <v>4</v>
      </c>
      <c r="I56" s="4">
        <f t="shared" si="0"/>
        <v>3</v>
      </c>
      <c r="J56" s="4">
        <v>0.05</v>
      </c>
      <c r="K56" t="s">
        <v>55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94</v>
      </c>
      <c r="R56" t="s">
        <v>88</v>
      </c>
      <c r="S56" t="s">
        <v>58</v>
      </c>
      <c r="T56" t="s">
        <v>243</v>
      </c>
      <c r="U56">
        <v>5</v>
      </c>
      <c r="V56">
        <v>1</v>
      </c>
      <c r="W56">
        <v>1</v>
      </c>
      <c r="X56">
        <v>1</v>
      </c>
      <c r="Y56">
        <v>12</v>
      </c>
      <c r="Z56">
        <f t="shared" si="3"/>
        <v>8</v>
      </c>
      <c r="AA56" t="s">
        <v>878</v>
      </c>
    </row>
    <row r="57" spans="1:27" x14ac:dyDescent="0.25">
      <c r="A57">
        <v>56</v>
      </c>
      <c r="B57" t="s">
        <v>268</v>
      </c>
      <c r="C57" t="s">
        <v>84</v>
      </c>
      <c r="D57" t="s">
        <v>334</v>
      </c>
      <c r="E57" t="s">
        <v>53</v>
      </c>
      <c r="F57" s="5" t="s">
        <v>378</v>
      </c>
      <c r="G57">
        <v>3</v>
      </c>
      <c r="H57">
        <v>3</v>
      </c>
      <c r="I57" s="4">
        <f t="shared" si="0"/>
        <v>4</v>
      </c>
      <c r="J57" s="4">
        <v>0.05</v>
      </c>
      <c r="K57" t="s">
        <v>61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63</v>
      </c>
      <c r="S57" t="s">
        <v>407</v>
      </c>
      <c r="T57" t="s">
        <v>64</v>
      </c>
      <c r="U57">
        <v>6</v>
      </c>
      <c r="W57">
        <v>6</v>
      </c>
      <c r="Y57">
        <v>12</v>
      </c>
      <c r="Z57">
        <f t="shared" si="3"/>
        <v>12</v>
      </c>
      <c r="AA57" t="s">
        <v>887</v>
      </c>
    </row>
    <row r="58" spans="1:27" x14ac:dyDescent="0.25">
      <c r="A58">
        <v>57</v>
      </c>
      <c r="B58" t="s">
        <v>269</v>
      </c>
      <c r="C58" t="s">
        <v>75</v>
      </c>
      <c r="D58" t="s">
        <v>335</v>
      </c>
      <c r="E58" t="s">
        <v>76</v>
      </c>
      <c r="F58" s="5">
        <v>46239</v>
      </c>
      <c r="G58">
        <v>3</v>
      </c>
      <c r="H58">
        <v>3</v>
      </c>
      <c r="I58" s="4">
        <f t="shared" si="0"/>
        <v>4</v>
      </c>
      <c r="J58" s="4">
        <v>0.05</v>
      </c>
      <c r="K58" t="s">
        <v>97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63</v>
      </c>
      <c r="S58" t="s">
        <v>58</v>
      </c>
      <c r="T58" t="s">
        <v>415</v>
      </c>
      <c r="U58">
        <v>10</v>
      </c>
      <c r="V58">
        <v>3</v>
      </c>
      <c r="X58">
        <v>1</v>
      </c>
      <c r="Y58">
        <v>12</v>
      </c>
      <c r="Z58">
        <f t="shared" si="3"/>
        <v>14</v>
      </c>
    </row>
    <row r="59" spans="1:27" x14ac:dyDescent="0.25">
      <c r="A59">
        <v>58</v>
      </c>
      <c r="B59" t="s">
        <v>270</v>
      </c>
      <c r="C59" t="s">
        <v>75</v>
      </c>
      <c r="D59" t="s">
        <v>336</v>
      </c>
      <c r="E59" t="s">
        <v>76</v>
      </c>
      <c r="F59" s="5" t="s">
        <v>378</v>
      </c>
      <c r="G59">
        <v>4</v>
      </c>
      <c r="H59">
        <v>4</v>
      </c>
      <c r="I59" s="4">
        <f t="shared" si="0"/>
        <v>3</v>
      </c>
      <c r="J59" s="4">
        <v>0.05</v>
      </c>
      <c r="K59" t="s">
        <v>97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63</v>
      </c>
      <c r="S59" t="s">
        <v>58</v>
      </c>
      <c r="T59" t="s">
        <v>243</v>
      </c>
      <c r="U59">
        <v>11</v>
      </c>
      <c r="V59">
        <v>3</v>
      </c>
      <c r="X59">
        <v>1</v>
      </c>
      <c r="Y59">
        <v>12</v>
      </c>
      <c r="Z59">
        <f t="shared" si="3"/>
        <v>15</v>
      </c>
      <c r="AA59" t="s">
        <v>896</v>
      </c>
    </row>
    <row r="60" spans="1:27" x14ac:dyDescent="0.25">
      <c r="A60">
        <v>59</v>
      </c>
      <c r="B60" t="s">
        <v>109</v>
      </c>
      <c r="C60" t="s">
        <v>84</v>
      </c>
      <c r="D60" t="s">
        <v>110</v>
      </c>
      <c r="E60" t="s">
        <v>53</v>
      </c>
      <c r="F60" s="5" t="s">
        <v>380</v>
      </c>
      <c r="G60">
        <v>3</v>
      </c>
      <c r="H60">
        <v>3</v>
      </c>
      <c r="I60" s="4">
        <f t="shared" si="0"/>
        <v>4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88</v>
      </c>
      <c r="S60" t="s">
        <v>58</v>
      </c>
      <c r="T60" t="s">
        <v>239</v>
      </c>
      <c r="U60">
        <v>8</v>
      </c>
      <c r="V60">
        <v>1</v>
      </c>
      <c r="W60">
        <v>1</v>
      </c>
      <c r="X60">
        <v>1</v>
      </c>
      <c r="Y60">
        <v>12</v>
      </c>
      <c r="Z60">
        <f t="shared" si="3"/>
        <v>11</v>
      </c>
      <c r="AA60" t="s">
        <v>895</v>
      </c>
    </row>
    <row r="61" spans="1:27" x14ac:dyDescent="0.25">
      <c r="A61">
        <v>60</v>
      </c>
      <c r="B61" t="s">
        <v>271</v>
      </c>
      <c r="C61" t="s">
        <v>84</v>
      </c>
      <c r="D61" t="s">
        <v>337</v>
      </c>
      <c r="E61" t="s">
        <v>53</v>
      </c>
      <c r="F61" s="5" t="s">
        <v>381</v>
      </c>
      <c r="G61">
        <v>3</v>
      </c>
      <c r="H61">
        <v>3</v>
      </c>
      <c r="I61" s="4">
        <f t="shared" si="0"/>
        <v>4</v>
      </c>
      <c r="J61" s="4">
        <v>0.05</v>
      </c>
      <c r="K61" t="s">
        <v>97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88</v>
      </c>
      <c r="S61" t="s">
        <v>58</v>
      </c>
      <c r="T61" t="s">
        <v>243</v>
      </c>
      <c r="U61">
        <v>8</v>
      </c>
      <c r="V61">
        <v>1</v>
      </c>
      <c r="X61">
        <v>1</v>
      </c>
      <c r="Y61">
        <v>12</v>
      </c>
      <c r="Z61">
        <f t="shared" si="3"/>
        <v>10</v>
      </c>
      <c r="AA61" t="s">
        <v>895</v>
      </c>
    </row>
    <row r="62" spans="1:27" x14ac:dyDescent="0.25">
      <c r="A62">
        <v>61</v>
      </c>
      <c r="B62" t="s">
        <v>272</v>
      </c>
      <c r="C62" t="s">
        <v>84</v>
      </c>
      <c r="D62" t="s">
        <v>338</v>
      </c>
      <c r="E62" t="s">
        <v>53</v>
      </c>
      <c r="F62" s="5" t="s">
        <v>381</v>
      </c>
      <c r="G62">
        <v>3</v>
      </c>
      <c r="H62">
        <v>3</v>
      </c>
      <c r="I62" s="4">
        <f t="shared" si="0"/>
        <v>4</v>
      </c>
      <c r="J62" s="4">
        <v>0.05</v>
      </c>
      <c r="K62" t="s">
        <v>61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62</v>
      </c>
      <c r="R62" t="s">
        <v>87</v>
      </c>
      <c r="S62" t="s">
        <v>407</v>
      </c>
      <c r="T62" t="s">
        <v>243</v>
      </c>
      <c r="U62">
        <v>16</v>
      </c>
      <c r="V62">
        <v>4</v>
      </c>
      <c r="X62">
        <v>1</v>
      </c>
      <c r="Y62">
        <v>12</v>
      </c>
      <c r="Z62">
        <f t="shared" si="3"/>
        <v>21</v>
      </c>
      <c r="AA62" t="s">
        <v>905</v>
      </c>
    </row>
    <row r="63" spans="1:27" x14ac:dyDescent="0.25">
      <c r="A63">
        <v>62</v>
      </c>
      <c r="B63" t="s">
        <v>273</v>
      </c>
      <c r="C63" t="s">
        <v>84</v>
      </c>
      <c r="D63" t="s">
        <v>339</v>
      </c>
      <c r="E63" t="s">
        <v>53</v>
      </c>
      <c r="F63" s="5" t="s">
        <v>382</v>
      </c>
      <c r="G63">
        <v>3</v>
      </c>
      <c r="H63">
        <v>3</v>
      </c>
      <c r="I63" s="4">
        <f t="shared" si="0"/>
        <v>4</v>
      </c>
      <c r="J63" s="4">
        <v>0.05</v>
      </c>
      <c r="K63" t="s">
        <v>55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62</v>
      </c>
      <c r="R63" t="s">
        <v>87</v>
      </c>
      <c r="S63" t="s">
        <v>407</v>
      </c>
      <c r="T63" t="s">
        <v>412</v>
      </c>
      <c r="U63">
        <v>4</v>
      </c>
      <c r="W63">
        <v>4</v>
      </c>
      <c r="Y63">
        <v>12</v>
      </c>
      <c r="Z63">
        <f t="shared" si="3"/>
        <v>8</v>
      </c>
      <c r="AA63" t="s">
        <v>899</v>
      </c>
    </row>
    <row r="64" spans="1:27" x14ac:dyDescent="0.25">
      <c r="A64">
        <v>63</v>
      </c>
      <c r="B64" t="s">
        <v>274</v>
      </c>
      <c r="C64" t="s">
        <v>84</v>
      </c>
      <c r="D64" t="s">
        <v>340</v>
      </c>
      <c r="E64" t="s">
        <v>53</v>
      </c>
      <c r="F64" s="5" t="s">
        <v>380</v>
      </c>
      <c r="G64">
        <v>3</v>
      </c>
      <c r="H64">
        <v>3</v>
      </c>
      <c r="I64" s="4">
        <f t="shared" si="0"/>
        <v>4</v>
      </c>
      <c r="J64" s="4">
        <v>0.05</v>
      </c>
      <c r="K64" t="s">
        <v>97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62</v>
      </c>
      <c r="R64" t="s">
        <v>87</v>
      </c>
      <c r="T64" t="s">
        <v>69</v>
      </c>
      <c r="U64">
        <v>8</v>
      </c>
      <c r="V64">
        <v>1</v>
      </c>
      <c r="W64">
        <v>1</v>
      </c>
      <c r="X64">
        <v>1</v>
      </c>
      <c r="Y64">
        <v>12</v>
      </c>
      <c r="Z64">
        <f t="shared" si="3"/>
        <v>11</v>
      </c>
      <c r="AA64" t="s">
        <v>895</v>
      </c>
    </row>
    <row r="65" spans="1:27" x14ac:dyDescent="0.25">
      <c r="A65">
        <v>64</v>
      </c>
      <c r="B65" t="s">
        <v>275</v>
      </c>
      <c r="C65" t="s">
        <v>75</v>
      </c>
      <c r="D65" t="s">
        <v>341</v>
      </c>
      <c r="E65" t="s">
        <v>111</v>
      </c>
      <c r="F65" s="5" t="s">
        <v>380</v>
      </c>
      <c r="G65">
        <v>3</v>
      </c>
      <c r="H65">
        <v>56</v>
      </c>
      <c r="I65" s="4">
        <f t="shared" si="0"/>
        <v>4</v>
      </c>
      <c r="J65" s="4">
        <v>0.05</v>
      </c>
      <c r="K65" t="s">
        <v>55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62</v>
      </c>
      <c r="R65" t="s">
        <v>87</v>
      </c>
      <c r="S65" t="s">
        <v>58</v>
      </c>
      <c r="T65" t="s">
        <v>239</v>
      </c>
      <c r="U65">
        <v>296</v>
      </c>
      <c r="V65">
        <v>32</v>
      </c>
      <c r="W65">
        <v>19</v>
      </c>
      <c r="Y65">
        <v>12</v>
      </c>
      <c r="Z65">
        <f t="shared" si="3"/>
        <v>347</v>
      </c>
      <c r="AA65" t="s">
        <v>111</v>
      </c>
    </row>
    <row r="66" spans="1:27" x14ac:dyDescent="0.25">
      <c r="A66">
        <v>65</v>
      </c>
      <c r="B66" t="s">
        <v>112</v>
      </c>
      <c r="C66" t="s">
        <v>51</v>
      </c>
      <c r="D66" t="s">
        <v>113</v>
      </c>
      <c r="E66" t="s">
        <v>53</v>
      </c>
      <c r="F66" s="5" t="s">
        <v>54</v>
      </c>
      <c r="G66">
        <v>3</v>
      </c>
      <c r="H66">
        <v>63</v>
      </c>
      <c r="I66" s="4">
        <f t="shared" ref="I66:I72" si="4">Y66/G66</f>
        <v>4</v>
      </c>
      <c r="J66" s="4">
        <v>0.05</v>
      </c>
      <c r="K66" t="s">
        <v>97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62</v>
      </c>
      <c r="R66" t="s">
        <v>87</v>
      </c>
      <c r="S66" t="s">
        <v>58</v>
      </c>
      <c r="T66" t="s">
        <v>69</v>
      </c>
      <c r="U66">
        <v>180</v>
      </c>
      <c r="W66">
        <v>184</v>
      </c>
      <c r="X66">
        <v>2</v>
      </c>
      <c r="Y66">
        <v>12</v>
      </c>
      <c r="Z66">
        <f t="shared" si="3"/>
        <v>366</v>
      </c>
      <c r="AA66" t="s">
        <v>878</v>
      </c>
    </row>
    <row r="67" spans="1:27" x14ac:dyDescent="0.25">
      <c r="A67">
        <v>66</v>
      </c>
      <c r="B67" t="s">
        <v>276</v>
      </c>
      <c r="C67" t="s">
        <v>84</v>
      </c>
      <c r="D67" t="s">
        <v>342</v>
      </c>
      <c r="E67" t="s">
        <v>53</v>
      </c>
      <c r="F67" s="5" t="s">
        <v>383</v>
      </c>
      <c r="G67">
        <v>4</v>
      </c>
      <c r="H67">
        <v>4</v>
      </c>
      <c r="I67" s="4">
        <f t="shared" si="4"/>
        <v>3</v>
      </c>
      <c r="J67" s="4">
        <v>0.05</v>
      </c>
      <c r="K67" t="s">
        <v>97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62</v>
      </c>
      <c r="R67" t="s">
        <v>87</v>
      </c>
      <c r="S67" t="s">
        <v>407</v>
      </c>
      <c r="T67" t="s">
        <v>239</v>
      </c>
      <c r="U67">
        <v>11</v>
      </c>
      <c r="W67">
        <v>9</v>
      </c>
      <c r="Y67">
        <v>12</v>
      </c>
      <c r="Z67">
        <f t="shared" ref="Z67:Z130" si="7">SUM(U67:X67)</f>
        <v>20</v>
      </c>
      <c r="AA67" t="s">
        <v>887</v>
      </c>
    </row>
    <row r="68" spans="1:27" x14ac:dyDescent="0.25">
      <c r="A68">
        <v>67</v>
      </c>
      <c r="B68" t="s">
        <v>277</v>
      </c>
      <c r="C68" t="s">
        <v>84</v>
      </c>
      <c r="D68" t="s">
        <v>343</v>
      </c>
      <c r="E68" t="s">
        <v>53</v>
      </c>
      <c r="F68" s="5" t="s">
        <v>384</v>
      </c>
      <c r="G68">
        <v>3</v>
      </c>
      <c r="H68">
        <v>3</v>
      </c>
      <c r="I68" s="4">
        <f t="shared" si="4"/>
        <v>4</v>
      </c>
      <c r="J68" s="4">
        <v>0.05</v>
      </c>
      <c r="K68" t="s">
        <v>93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62</v>
      </c>
      <c r="R68" t="s">
        <v>87</v>
      </c>
      <c r="S68" t="s">
        <v>58</v>
      </c>
      <c r="T68" t="s">
        <v>243</v>
      </c>
      <c r="U68">
        <v>6</v>
      </c>
      <c r="W68">
        <v>6</v>
      </c>
      <c r="Y68">
        <v>12</v>
      </c>
      <c r="Z68">
        <f t="shared" si="7"/>
        <v>12</v>
      </c>
      <c r="AA68" t="s">
        <v>887</v>
      </c>
    </row>
    <row r="69" spans="1:27" x14ac:dyDescent="0.25">
      <c r="A69">
        <v>68</v>
      </c>
      <c r="B69" t="s">
        <v>278</v>
      </c>
      <c r="C69" t="s">
        <v>51</v>
      </c>
      <c r="D69" t="s">
        <v>344</v>
      </c>
      <c r="E69" t="s">
        <v>53</v>
      </c>
      <c r="F69" s="5" t="s">
        <v>385</v>
      </c>
      <c r="G69">
        <v>3</v>
      </c>
      <c r="H69">
        <v>45</v>
      </c>
      <c r="I69" s="4">
        <f t="shared" si="4"/>
        <v>0</v>
      </c>
      <c r="J69" s="4">
        <v>0.05</v>
      </c>
      <c r="K69" t="s">
        <v>55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62</v>
      </c>
      <c r="R69" t="s">
        <v>87</v>
      </c>
      <c r="S69" t="s">
        <v>58</v>
      </c>
      <c r="T69" t="s">
        <v>96</v>
      </c>
      <c r="U69">
        <v>212</v>
      </c>
      <c r="V69">
        <v>105</v>
      </c>
      <c r="W69">
        <v>2</v>
      </c>
      <c r="X69">
        <v>10</v>
      </c>
      <c r="Z69">
        <f t="shared" si="7"/>
        <v>329</v>
      </c>
      <c r="AA69" t="s">
        <v>906</v>
      </c>
    </row>
    <row r="70" spans="1:27" x14ac:dyDescent="0.25">
      <c r="A70">
        <v>69</v>
      </c>
      <c r="B70" t="s">
        <v>279</v>
      </c>
      <c r="C70" t="s">
        <v>75</v>
      </c>
      <c r="D70" t="s">
        <v>345</v>
      </c>
      <c r="E70" t="s">
        <v>114</v>
      </c>
      <c r="F70" s="5" t="s">
        <v>386</v>
      </c>
      <c r="G70">
        <v>4</v>
      </c>
      <c r="H70">
        <v>8</v>
      </c>
      <c r="I70" s="4">
        <f t="shared" si="4"/>
        <v>3</v>
      </c>
      <c r="J70" s="4">
        <v>0.05</v>
      </c>
      <c r="K70" t="s">
        <v>55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62</v>
      </c>
      <c r="R70" t="s">
        <v>87</v>
      </c>
      <c r="S70" t="s">
        <v>58</v>
      </c>
      <c r="T70" t="s">
        <v>69</v>
      </c>
      <c r="V70">
        <v>23</v>
      </c>
      <c r="X70">
        <v>7</v>
      </c>
      <c r="Y70">
        <v>12</v>
      </c>
      <c r="Z70">
        <f t="shared" si="7"/>
        <v>30</v>
      </c>
      <c r="AA70" t="s">
        <v>114</v>
      </c>
    </row>
    <row r="71" spans="1:27" x14ac:dyDescent="0.25">
      <c r="A71">
        <v>70</v>
      </c>
      <c r="B71" t="s">
        <v>115</v>
      </c>
      <c r="C71" t="s">
        <v>51</v>
      </c>
      <c r="D71" t="s">
        <v>116</v>
      </c>
      <c r="E71" t="s">
        <v>53</v>
      </c>
      <c r="F71" s="5">
        <v>46028</v>
      </c>
      <c r="G71">
        <v>4</v>
      </c>
      <c r="H71">
        <v>60</v>
      </c>
      <c r="I71" s="4">
        <f t="shared" si="4"/>
        <v>3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87</v>
      </c>
      <c r="S71" t="s">
        <v>58</v>
      </c>
      <c r="U71">
        <v>259</v>
      </c>
      <c r="V71">
        <v>52</v>
      </c>
      <c r="X71">
        <v>3</v>
      </c>
      <c r="Y71">
        <v>12</v>
      </c>
      <c r="Z71">
        <f t="shared" si="7"/>
        <v>314</v>
      </c>
      <c r="AA71" t="s">
        <v>907</v>
      </c>
    </row>
    <row r="72" spans="1:27" x14ac:dyDescent="0.25">
      <c r="A72">
        <v>71</v>
      </c>
      <c r="B72" t="s">
        <v>280</v>
      </c>
      <c r="C72" t="s">
        <v>84</v>
      </c>
      <c r="D72" t="s">
        <v>346</v>
      </c>
      <c r="E72" t="s">
        <v>53</v>
      </c>
      <c r="F72" s="5" t="s">
        <v>387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87</v>
      </c>
      <c r="S72" t="s">
        <v>58</v>
      </c>
      <c r="T72" t="s">
        <v>239</v>
      </c>
      <c r="U72">
        <v>8</v>
      </c>
      <c r="V72">
        <v>1</v>
      </c>
      <c r="W72">
        <v>1</v>
      </c>
      <c r="X72">
        <v>1</v>
      </c>
      <c r="Y72">
        <v>12</v>
      </c>
      <c r="Z72">
        <f t="shared" si="7"/>
        <v>11</v>
      </c>
      <c r="AA72" t="s">
        <v>895</v>
      </c>
    </row>
    <row r="73" spans="1:27" x14ac:dyDescent="0.25">
      <c r="A73">
        <v>72</v>
      </c>
      <c r="B73" t="s">
        <v>281</v>
      </c>
      <c r="C73" t="s">
        <v>75</v>
      </c>
      <c r="D73" t="s">
        <v>347</v>
      </c>
      <c r="E73" t="s">
        <v>76</v>
      </c>
      <c r="F73" s="5">
        <v>46118</v>
      </c>
      <c r="G73">
        <v>3</v>
      </c>
      <c r="H73">
        <v>6</v>
      </c>
      <c r="I73" s="4">
        <v>12</v>
      </c>
      <c r="J73" s="4">
        <v>12</v>
      </c>
      <c r="K73" t="s">
        <v>55</v>
      </c>
      <c r="L73" s="5">
        <v>46082</v>
      </c>
      <c r="M73">
        <v>2</v>
      </c>
      <c r="N73">
        <v>2026</v>
      </c>
      <c r="O73" t="s">
        <v>238</v>
      </c>
      <c r="P73">
        <v>2</v>
      </c>
      <c r="Q73" t="s">
        <v>62</v>
      </c>
      <c r="R73" t="s">
        <v>88</v>
      </c>
      <c r="S73" t="s">
        <v>58</v>
      </c>
      <c r="T73" t="s">
        <v>243</v>
      </c>
      <c r="U73">
        <v>18</v>
      </c>
      <c r="V73">
        <v>3</v>
      </c>
      <c r="Y73">
        <v>12</v>
      </c>
      <c r="Z73">
        <f t="shared" si="7"/>
        <v>21</v>
      </c>
      <c r="AA73" t="s">
        <v>908</v>
      </c>
    </row>
    <row r="74" spans="1:27" x14ac:dyDescent="0.25">
      <c r="A74">
        <v>73</v>
      </c>
      <c r="B74" t="s">
        <v>282</v>
      </c>
      <c r="C74" t="s">
        <v>84</v>
      </c>
      <c r="D74" t="s">
        <v>348</v>
      </c>
      <c r="E74" t="s">
        <v>53</v>
      </c>
      <c r="F74" s="5" t="s">
        <v>387</v>
      </c>
      <c r="G74">
        <v>3</v>
      </c>
      <c r="H74">
        <v>3</v>
      </c>
      <c r="I74" s="12">
        <v>12</v>
      </c>
      <c r="J74" s="12">
        <v>3</v>
      </c>
      <c r="K74" t="s">
        <v>55</v>
      </c>
      <c r="L74" s="5">
        <v>46082</v>
      </c>
      <c r="M74">
        <v>2</v>
      </c>
      <c r="N74">
        <v>2026</v>
      </c>
      <c r="O74" t="s">
        <v>238</v>
      </c>
      <c r="P74">
        <v>1</v>
      </c>
      <c r="Q74" s="12" t="s">
        <v>62</v>
      </c>
      <c r="R74" s="12" t="s">
        <v>87</v>
      </c>
      <c r="T74" t="s">
        <v>239</v>
      </c>
      <c r="U74">
        <v>5</v>
      </c>
      <c r="V74">
        <v>1</v>
      </c>
      <c r="W74">
        <v>1</v>
      </c>
      <c r="X74">
        <v>1</v>
      </c>
      <c r="Y74">
        <v>12</v>
      </c>
      <c r="Z74">
        <f t="shared" si="7"/>
        <v>8</v>
      </c>
      <c r="AA74" t="s">
        <v>895</v>
      </c>
    </row>
    <row r="75" spans="1:27" x14ac:dyDescent="0.25">
      <c r="A75">
        <v>73</v>
      </c>
      <c r="B75" t="s">
        <v>283</v>
      </c>
      <c r="C75" t="s">
        <v>75</v>
      </c>
      <c r="D75" t="s">
        <v>349</v>
      </c>
      <c r="E75" t="s">
        <v>76</v>
      </c>
      <c r="F75" s="5" t="s">
        <v>378</v>
      </c>
      <c r="G75">
        <v>4</v>
      </c>
      <c r="H75">
        <v>4</v>
      </c>
      <c r="I75" s="12">
        <v>12</v>
      </c>
      <c r="J75" s="12">
        <v>27</v>
      </c>
      <c r="K75" t="s">
        <v>55</v>
      </c>
      <c r="L75" s="5">
        <v>46082</v>
      </c>
      <c r="M75">
        <v>2</v>
      </c>
      <c r="N75">
        <v>2026</v>
      </c>
      <c r="O75" t="s">
        <v>238</v>
      </c>
      <c r="P75">
        <v>1</v>
      </c>
      <c r="Q75" s="12" t="s">
        <v>56</v>
      </c>
      <c r="R75" t="s">
        <v>88</v>
      </c>
      <c r="T75" t="s">
        <v>239</v>
      </c>
      <c r="U75">
        <v>10</v>
      </c>
      <c r="V75">
        <v>2</v>
      </c>
      <c r="X75">
        <v>1</v>
      </c>
      <c r="Y75">
        <v>12</v>
      </c>
      <c r="Z75">
        <f t="shared" si="7"/>
        <v>13</v>
      </c>
      <c r="AA75" t="s">
        <v>908</v>
      </c>
    </row>
    <row r="76" spans="1:27" x14ac:dyDescent="0.25">
      <c r="B76" t="s">
        <v>284</v>
      </c>
      <c r="C76" t="s">
        <v>84</v>
      </c>
      <c r="D76" t="s">
        <v>350</v>
      </c>
      <c r="E76" t="s">
        <v>53</v>
      </c>
      <c r="F76" s="5">
        <v>46271</v>
      </c>
      <c r="G76">
        <v>3</v>
      </c>
      <c r="H76">
        <v>3</v>
      </c>
      <c r="K76" t="s">
        <v>55</v>
      </c>
      <c r="S76" t="s">
        <v>58</v>
      </c>
      <c r="T76" t="s">
        <v>239</v>
      </c>
      <c r="U76">
        <v>9</v>
      </c>
      <c r="V76">
        <v>1</v>
      </c>
      <c r="W76">
        <v>1</v>
      </c>
      <c r="X76">
        <v>1</v>
      </c>
      <c r="Y76">
        <v>12</v>
      </c>
      <c r="Z76">
        <f t="shared" si="7"/>
        <v>12</v>
      </c>
      <c r="AA76" t="s">
        <v>895</v>
      </c>
    </row>
    <row r="77" spans="1:27" x14ac:dyDescent="0.25">
      <c r="B77" t="s">
        <v>285</v>
      </c>
      <c r="C77" t="s">
        <v>84</v>
      </c>
      <c r="D77" t="s">
        <v>117</v>
      </c>
      <c r="E77" t="s">
        <v>53</v>
      </c>
      <c r="F77" s="5">
        <v>46240</v>
      </c>
      <c r="G77">
        <v>3</v>
      </c>
      <c r="H77">
        <v>3</v>
      </c>
      <c r="K77" t="s">
        <v>55</v>
      </c>
      <c r="S77" t="s">
        <v>80</v>
      </c>
      <c r="T77" t="s">
        <v>412</v>
      </c>
      <c r="U77">
        <v>5</v>
      </c>
      <c r="V77">
        <v>1</v>
      </c>
      <c r="W77">
        <v>1</v>
      </c>
      <c r="X77">
        <v>1</v>
      </c>
      <c r="Y77">
        <v>12</v>
      </c>
      <c r="Z77">
        <f t="shared" si="7"/>
        <v>8</v>
      </c>
      <c r="AA77" t="s">
        <v>895</v>
      </c>
    </row>
    <row r="78" spans="1:27" x14ac:dyDescent="0.25">
      <c r="B78" t="s">
        <v>118</v>
      </c>
      <c r="C78" t="s">
        <v>75</v>
      </c>
      <c r="D78" t="s">
        <v>119</v>
      </c>
      <c r="E78" t="s">
        <v>76</v>
      </c>
      <c r="F78" s="5" t="s">
        <v>386</v>
      </c>
      <c r="G78">
        <v>4</v>
      </c>
      <c r="H78">
        <v>4</v>
      </c>
      <c r="K78" t="s">
        <v>67</v>
      </c>
      <c r="T78" t="s">
        <v>96</v>
      </c>
      <c r="U78">
        <v>21</v>
      </c>
      <c r="V78">
        <v>4</v>
      </c>
      <c r="X78">
        <v>1</v>
      </c>
      <c r="Y78">
        <v>12</v>
      </c>
      <c r="Z78">
        <f t="shared" si="7"/>
        <v>26</v>
      </c>
      <c r="AA78" t="s">
        <v>909</v>
      </c>
    </row>
    <row r="79" spans="1:27" x14ac:dyDescent="0.25">
      <c r="B79" t="s">
        <v>286</v>
      </c>
      <c r="C79" t="s">
        <v>84</v>
      </c>
      <c r="D79" t="s">
        <v>351</v>
      </c>
      <c r="E79" t="s">
        <v>53</v>
      </c>
      <c r="F79" s="5">
        <v>46301</v>
      </c>
      <c r="G79">
        <v>3</v>
      </c>
      <c r="H79">
        <v>3</v>
      </c>
      <c r="K79" t="s">
        <v>67</v>
      </c>
      <c r="S79" t="s">
        <v>89</v>
      </c>
      <c r="T79" t="s">
        <v>69</v>
      </c>
      <c r="U79">
        <v>8</v>
      </c>
      <c r="V79">
        <v>1</v>
      </c>
      <c r="W79">
        <v>1</v>
      </c>
      <c r="X79">
        <v>1</v>
      </c>
      <c r="Y79">
        <v>12</v>
      </c>
      <c r="Z79">
        <f t="shared" si="7"/>
        <v>11</v>
      </c>
      <c r="AA79" t="s">
        <v>895</v>
      </c>
    </row>
    <row r="80" spans="1:27" x14ac:dyDescent="0.25">
      <c r="B80" t="s">
        <v>287</v>
      </c>
      <c r="C80" t="s">
        <v>84</v>
      </c>
      <c r="D80" t="s">
        <v>352</v>
      </c>
      <c r="E80" t="s">
        <v>53</v>
      </c>
      <c r="F80" s="5" t="s">
        <v>388</v>
      </c>
      <c r="G80">
        <v>3</v>
      </c>
      <c r="H80">
        <v>3</v>
      </c>
      <c r="K80" t="s">
        <v>55</v>
      </c>
      <c r="S80" t="s">
        <v>58</v>
      </c>
      <c r="T80" t="s">
        <v>239</v>
      </c>
      <c r="U80">
        <v>8</v>
      </c>
      <c r="V80">
        <v>1</v>
      </c>
      <c r="W80">
        <v>2</v>
      </c>
      <c r="X80">
        <v>1</v>
      </c>
      <c r="Y80">
        <v>12</v>
      </c>
      <c r="Z80">
        <f t="shared" si="7"/>
        <v>12</v>
      </c>
      <c r="AA80" t="s">
        <v>895</v>
      </c>
    </row>
    <row r="81" spans="2:27" x14ac:dyDescent="0.25">
      <c r="B81" t="s">
        <v>288</v>
      </c>
      <c r="C81" t="s">
        <v>84</v>
      </c>
      <c r="D81" t="s">
        <v>353</v>
      </c>
      <c r="E81" t="s">
        <v>53</v>
      </c>
      <c r="F81" s="5">
        <v>46361</v>
      </c>
      <c r="G81">
        <v>3</v>
      </c>
      <c r="H81">
        <v>3</v>
      </c>
      <c r="K81" t="s">
        <v>67</v>
      </c>
      <c r="S81" t="s">
        <v>58</v>
      </c>
      <c r="T81" t="s">
        <v>416</v>
      </c>
      <c r="U81">
        <v>6</v>
      </c>
      <c r="W81">
        <v>6</v>
      </c>
      <c r="Y81">
        <v>12</v>
      </c>
      <c r="Z81">
        <f t="shared" si="7"/>
        <v>12</v>
      </c>
      <c r="AA81" t="s">
        <v>887</v>
      </c>
    </row>
    <row r="82" spans="2:27" x14ac:dyDescent="0.25">
      <c r="B82" t="s">
        <v>289</v>
      </c>
      <c r="C82" t="s">
        <v>84</v>
      </c>
      <c r="D82" t="s">
        <v>354</v>
      </c>
      <c r="E82" t="s">
        <v>53</v>
      </c>
      <c r="F82" s="5" t="s">
        <v>389</v>
      </c>
      <c r="G82">
        <v>3</v>
      </c>
      <c r="H82">
        <v>3</v>
      </c>
      <c r="K82" t="s">
        <v>93</v>
      </c>
      <c r="S82" t="s">
        <v>58</v>
      </c>
      <c r="T82" t="s">
        <v>239</v>
      </c>
      <c r="U82">
        <v>5</v>
      </c>
      <c r="V82">
        <v>1</v>
      </c>
      <c r="W82">
        <v>1</v>
      </c>
      <c r="X82">
        <v>1</v>
      </c>
      <c r="Y82">
        <v>12</v>
      </c>
      <c r="Z82">
        <f t="shared" si="7"/>
        <v>8</v>
      </c>
      <c r="AA82" t="s">
        <v>895</v>
      </c>
    </row>
    <row r="83" spans="2:27" x14ac:dyDescent="0.25">
      <c r="B83" t="s">
        <v>290</v>
      </c>
      <c r="C83" t="s">
        <v>75</v>
      </c>
      <c r="D83" t="s">
        <v>355</v>
      </c>
      <c r="E83" t="s">
        <v>111</v>
      </c>
      <c r="F83" s="5" t="s">
        <v>90</v>
      </c>
      <c r="G83">
        <v>3</v>
      </c>
      <c r="H83">
        <v>156</v>
      </c>
      <c r="K83" t="s">
        <v>55</v>
      </c>
      <c r="S83" t="s">
        <v>58</v>
      </c>
      <c r="T83" t="s">
        <v>243</v>
      </c>
      <c r="U83">
        <v>604</v>
      </c>
      <c r="V83">
        <v>91</v>
      </c>
      <c r="W83">
        <v>463</v>
      </c>
      <c r="X83">
        <v>8</v>
      </c>
      <c r="Y83">
        <v>9</v>
      </c>
      <c r="Z83">
        <f t="shared" si="7"/>
        <v>1166</v>
      </c>
      <c r="AA83" t="s">
        <v>111</v>
      </c>
    </row>
    <row r="84" spans="2:27" x14ac:dyDescent="0.25">
      <c r="B84" t="s">
        <v>120</v>
      </c>
      <c r="C84" t="s">
        <v>84</v>
      </c>
      <c r="D84" t="s">
        <v>121</v>
      </c>
      <c r="E84" t="s">
        <v>53</v>
      </c>
      <c r="F84" s="5">
        <v>46088</v>
      </c>
      <c r="G84">
        <v>3</v>
      </c>
      <c r="H84">
        <v>3</v>
      </c>
      <c r="K84" t="s">
        <v>55</v>
      </c>
      <c r="S84" t="s">
        <v>58</v>
      </c>
      <c r="T84" t="s">
        <v>243</v>
      </c>
      <c r="U84">
        <v>11</v>
      </c>
      <c r="V84">
        <v>4</v>
      </c>
      <c r="W84">
        <v>5</v>
      </c>
      <c r="Y84">
        <v>12</v>
      </c>
      <c r="Z84">
        <f t="shared" si="7"/>
        <v>20</v>
      </c>
      <c r="AA84" t="s">
        <v>910</v>
      </c>
    </row>
    <row r="85" spans="2:27" x14ac:dyDescent="0.25">
      <c r="B85" t="s">
        <v>291</v>
      </c>
      <c r="C85" t="s">
        <v>84</v>
      </c>
      <c r="D85" t="s">
        <v>356</v>
      </c>
      <c r="E85" t="s">
        <v>53</v>
      </c>
      <c r="F85" s="5" t="s">
        <v>389</v>
      </c>
      <c r="G85">
        <v>3</v>
      </c>
      <c r="H85">
        <v>3</v>
      </c>
      <c r="K85" t="s">
        <v>55</v>
      </c>
      <c r="S85" t="s">
        <v>58</v>
      </c>
      <c r="T85" t="s">
        <v>69</v>
      </c>
      <c r="U85">
        <v>5</v>
      </c>
      <c r="V85">
        <v>1</v>
      </c>
      <c r="Y85">
        <v>12</v>
      </c>
      <c r="Z85">
        <f t="shared" si="7"/>
        <v>6</v>
      </c>
      <c r="AA85" t="s">
        <v>911</v>
      </c>
    </row>
    <row r="86" spans="2:27" x14ac:dyDescent="0.25">
      <c r="B86" t="s">
        <v>122</v>
      </c>
      <c r="C86" t="s">
        <v>84</v>
      </c>
      <c r="D86" t="s">
        <v>123</v>
      </c>
      <c r="E86" t="s">
        <v>53</v>
      </c>
      <c r="F86" s="5" t="s">
        <v>390</v>
      </c>
      <c r="G86">
        <v>3</v>
      </c>
      <c r="H86">
        <v>3</v>
      </c>
      <c r="K86" t="s">
        <v>55</v>
      </c>
      <c r="S86" t="s">
        <v>58</v>
      </c>
      <c r="T86" t="s">
        <v>243</v>
      </c>
      <c r="U86">
        <v>4</v>
      </c>
      <c r="W86">
        <v>4</v>
      </c>
      <c r="Y86">
        <v>12</v>
      </c>
      <c r="Z86">
        <f t="shared" si="7"/>
        <v>8</v>
      </c>
      <c r="AA86" t="s">
        <v>901</v>
      </c>
    </row>
    <row r="87" spans="2:27" x14ac:dyDescent="0.25">
      <c r="B87" t="s">
        <v>292</v>
      </c>
      <c r="C87" t="s">
        <v>84</v>
      </c>
      <c r="D87" t="s">
        <v>357</v>
      </c>
      <c r="E87" t="s">
        <v>53</v>
      </c>
      <c r="F87" s="5" t="s">
        <v>391</v>
      </c>
      <c r="G87">
        <v>3</v>
      </c>
      <c r="H87">
        <v>3</v>
      </c>
      <c r="K87" t="s">
        <v>93</v>
      </c>
      <c r="S87" t="s">
        <v>58</v>
      </c>
      <c r="T87" t="s">
        <v>243</v>
      </c>
      <c r="U87">
        <v>8</v>
      </c>
      <c r="V87">
        <v>1</v>
      </c>
      <c r="X87">
        <v>0</v>
      </c>
      <c r="Y87">
        <v>12</v>
      </c>
      <c r="Z87">
        <f t="shared" si="7"/>
        <v>9</v>
      </c>
      <c r="AA87" t="s">
        <v>895</v>
      </c>
    </row>
    <row r="88" spans="2:27" x14ac:dyDescent="0.25">
      <c r="B88" t="s">
        <v>293</v>
      </c>
      <c r="C88" t="s">
        <v>84</v>
      </c>
      <c r="D88" t="s">
        <v>358</v>
      </c>
      <c r="E88" t="s">
        <v>53</v>
      </c>
      <c r="F88" s="5">
        <v>46118</v>
      </c>
      <c r="G88">
        <v>3</v>
      </c>
      <c r="H88">
        <v>3</v>
      </c>
      <c r="K88" t="s">
        <v>55</v>
      </c>
      <c r="S88" t="s">
        <v>58</v>
      </c>
      <c r="T88" t="s">
        <v>243</v>
      </c>
      <c r="U88">
        <v>5</v>
      </c>
      <c r="W88">
        <v>5</v>
      </c>
      <c r="Y88">
        <v>12</v>
      </c>
      <c r="Z88">
        <f t="shared" si="7"/>
        <v>10</v>
      </c>
      <c r="AA88" t="s">
        <v>912</v>
      </c>
    </row>
    <row r="89" spans="2:27" x14ac:dyDescent="0.25">
      <c r="B89" t="s">
        <v>124</v>
      </c>
      <c r="C89" t="s">
        <v>84</v>
      </c>
      <c r="D89" t="s">
        <v>125</v>
      </c>
      <c r="E89" t="s">
        <v>53</v>
      </c>
      <c r="F89" s="5" t="s">
        <v>392</v>
      </c>
      <c r="G89">
        <v>3</v>
      </c>
      <c r="H89">
        <v>3</v>
      </c>
      <c r="K89" t="s">
        <v>55</v>
      </c>
      <c r="S89" t="s">
        <v>58</v>
      </c>
      <c r="T89" t="s">
        <v>239</v>
      </c>
      <c r="U89">
        <v>5</v>
      </c>
      <c r="V89">
        <v>1</v>
      </c>
      <c r="W89">
        <v>1</v>
      </c>
      <c r="X89">
        <v>1</v>
      </c>
      <c r="Y89">
        <v>12</v>
      </c>
      <c r="Z89">
        <f t="shared" si="7"/>
        <v>8</v>
      </c>
      <c r="AA89" t="s">
        <v>895</v>
      </c>
    </row>
    <row r="90" spans="2:27" x14ac:dyDescent="0.25">
      <c r="B90" t="s">
        <v>294</v>
      </c>
      <c r="C90" t="s">
        <v>84</v>
      </c>
      <c r="D90" t="s">
        <v>359</v>
      </c>
      <c r="E90" t="s">
        <v>53</v>
      </c>
      <c r="F90" s="5" t="s">
        <v>389</v>
      </c>
      <c r="G90">
        <v>3</v>
      </c>
      <c r="H90">
        <v>3</v>
      </c>
      <c r="K90" t="s">
        <v>55</v>
      </c>
      <c r="S90" t="s">
        <v>58</v>
      </c>
      <c r="T90" t="s">
        <v>239</v>
      </c>
      <c r="U90">
        <v>8</v>
      </c>
      <c r="V90">
        <v>1</v>
      </c>
      <c r="X90">
        <v>1</v>
      </c>
      <c r="Y90">
        <v>12</v>
      </c>
      <c r="Z90">
        <f t="shared" si="7"/>
        <v>10</v>
      </c>
      <c r="AA90" t="s">
        <v>895</v>
      </c>
    </row>
    <row r="91" spans="2:27" x14ac:dyDescent="0.25">
      <c r="B91" t="s">
        <v>126</v>
      </c>
      <c r="C91" t="s">
        <v>84</v>
      </c>
      <c r="D91" t="s">
        <v>127</v>
      </c>
      <c r="E91" t="s">
        <v>53</v>
      </c>
      <c r="F91" s="5" t="s">
        <v>392</v>
      </c>
      <c r="G91">
        <v>3</v>
      </c>
      <c r="H91">
        <v>3</v>
      </c>
      <c r="K91" t="s">
        <v>67</v>
      </c>
      <c r="S91" t="s">
        <v>58</v>
      </c>
      <c r="T91" t="s">
        <v>239</v>
      </c>
      <c r="U91">
        <v>5</v>
      </c>
      <c r="V91">
        <v>1</v>
      </c>
      <c r="Y91">
        <v>12</v>
      </c>
      <c r="Z91">
        <f t="shared" si="7"/>
        <v>6</v>
      </c>
      <c r="AA91" t="s">
        <v>880</v>
      </c>
    </row>
    <row r="92" spans="2:27" x14ac:dyDescent="0.25">
      <c r="B92" t="s">
        <v>128</v>
      </c>
      <c r="C92" t="s">
        <v>84</v>
      </c>
      <c r="D92" t="s">
        <v>129</v>
      </c>
      <c r="E92" t="s">
        <v>53</v>
      </c>
      <c r="F92" s="5" t="s">
        <v>392</v>
      </c>
      <c r="G92">
        <v>3</v>
      </c>
      <c r="H92">
        <v>3</v>
      </c>
      <c r="K92" t="s">
        <v>403</v>
      </c>
      <c r="S92" t="s">
        <v>58</v>
      </c>
      <c r="T92" t="s">
        <v>412</v>
      </c>
      <c r="U92">
        <v>8</v>
      </c>
      <c r="V92">
        <v>1</v>
      </c>
      <c r="W92">
        <v>1</v>
      </c>
      <c r="X92">
        <v>1</v>
      </c>
      <c r="Y92">
        <v>12</v>
      </c>
      <c r="Z92">
        <f t="shared" si="7"/>
        <v>11</v>
      </c>
      <c r="AA92" t="s">
        <v>895</v>
      </c>
    </row>
    <row r="93" spans="2:27" x14ac:dyDescent="0.25">
      <c r="B93" t="s">
        <v>130</v>
      </c>
      <c r="C93" t="s">
        <v>84</v>
      </c>
      <c r="D93" t="s">
        <v>131</v>
      </c>
      <c r="E93" t="s">
        <v>53</v>
      </c>
      <c r="F93" s="5" t="s">
        <v>392</v>
      </c>
      <c r="G93">
        <v>3</v>
      </c>
      <c r="H93">
        <v>3</v>
      </c>
      <c r="K93" t="s">
        <v>67</v>
      </c>
      <c r="S93" t="s">
        <v>58</v>
      </c>
      <c r="T93" t="s">
        <v>243</v>
      </c>
      <c r="U93">
        <v>4</v>
      </c>
      <c r="W93">
        <v>4</v>
      </c>
      <c r="Y93">
        <v>12</v>
      </c>
      <c r="Z93">
        <f t="shared" si="7"/>
        <v>8</v>
      </c>
      <c r="AA93" t="s">
        <v>899</v>
      </c>
    </row>
    <row r="94" spans="2:27" x14ac:dyDescent="0.25">
      <c r="B94" t="s">
        <v>132</v>
      </c>
      <c r="C94" t="s">
        <v>84</v>
      </c>
      <c r="D94" t="s">
        <v>133</v>
      </c>
      <c r="E94" t="s">
        <v>53</v>
      </c>
      <c r="F94" s="5">
        <v>46210</v>
      </c>
      <c r="G94">
        <v>3</v>
      </c>
      <c r="H94">
        <v>3</v>
      </c>
      <c r="K94" t="s">
        <v>404</v>
      </c>
      <c r="U94">
        <v>8</v>
      </c>
      <c r="V94">
        <v>1</v>
      </c>
      <c r="W94">
        <v>1</v>
      </c>
      <c r="X94">
        <v>1</v>
      </c>
      <c r="Y94">
        <v>12</v>
      </c>
      <c r="Z94">
        <f t="shared" si="7"/>
        <v>11</v>
      </c>
      <c r="AA94" t="s">
        <v>895</v>
      </c>
    </row>
    <row r="95" spans="2:27" x14ac:dyDescent="0.25">
      <c r="B95" t="s">
        <v>295</v>
      </c>
      <c r="C95" t="s">
        <v>84</v>
      </c>
      <c r="D95" t="s">
        <v>360</v>
      </c>
      <c r="E95" t="s">
        <v>53</v>
      </c>
      <c r="F95" s="5" t="s">
        <v>393</v>
      </c>
      <c r="G95">
        <v>3</v>
      </c>
      <c r="H95">
        <v>3</v>
      </c>
      <c r="K95" t="s">
        <v>404</v>
      </c>
      <c r="U95">
        <v>4</v>
      </c>
      <c r="W95">
        <v>4</v>
      </c>
      <c r="Y95">
        <v>12</v>
      </c>
      <c r="Z95">
        <f t="shared" si="7"/>
        <v>8</v>
      </c>
      <c r="AA95" t="s">
        <v>901</v>
      </c>
    </row>
    <row r="96" spans="2:27" x14ac:dyDescent="0.25">
      <c r="B96" t="s">
        <v>134</v>
      </c>
      <c r="C96" t="s">
        <v>84</v>
      </c>
      <c r="D96" t="s">
        <v>135</v>
      </c>
      <c r="E96" t="s">
        <v>53</v>
      </c>
      <c r="F96" s="5">
        <v>46241</v>
      </c>
      <c r="G96">
        <v>3</v>
      </c>
      <c r="H96">
        <v>3</v>
      </c>
      <c r="K96" t="s">
        <v>404</v>
      </c>
      <c r="U96">
        <v>4</v>
      </c>
      <c r="W96">
        <v>4</v>
      </c>
      <c r="Y96">
        <v>12</v>
      </c>
      <c r="Z96">
        <f t="shared" si="7"/>
        <v>8</v>
      </c>
      <c r="AA96" t="s">
        <v>897</v>
      </c>
    </row>
    <row r="97" spans="2:27" x14ac:dyDescent="0.25">
      <c r="B97" t="s">
        <v>474</v>
      </c>
      <c r="C97" t="s">
        <v>51</v>
      </c>
      <c r="D97" t="s">
        <v>475</v>
      </c>
      <c r="E97" t="s">
        <v>53</v>
      </c>
      <c r="F97" s="5">
        <v>46210</v>
      </c>
      <c r="G97">
        <v>3</v>
      </c>
      <c r="H97">
        <v>15</v>
      </c>
      <c r="K97" t="s">
        <v>404</v>
      </c>
      <c r="U97">
        <v>69</v>
      </c>
      <c r="V97">
        <v>26</v>
      </c>
      <c r="W97">
        <v>7</v>
      </c>
      <c r="X97">
        <v>1</v>
      </c>
      <c r="Y97">
        <v>12</v>
      </c>
      <c r="Z97">
        <f t="shared" si="7"/>
        <v>103</v>
      </c>
      <c r="AA97" t="s">
        <v>903</v>
      </c>
    </row>
    <row r="98" spans="2:27" x14ac:dyDescent="0.25">
      <c r="B98" t="s">
        <v>236</v>
      </c>
      <c r="C98" t="s">
        <v>51</v>
      </c>
      <c r="D98" t="s">
        <v>237</v>
      </c>
      <c r="E98" t="s">
        <v>100</v>
      </c>
      <c r="F98" s="5">
        <v>46272</v>
      </c>
      <c r="G98">
        <v>2</v>
      </c>
      <c r="H98">
        <v>24</v>
      </c>
      <c r="K98" t="s">
        <v>404</v>
      </c>
      <c r="U98">
        <v>151</v>
      </c>
      <c r="W98">
        <v>151</v>
      </c>
      <c r="Y98">
        <v>12</v>
      </c>
      <c r="Z98">
        <f t="shared" si="7"/>
        <v>302</v>
      </c>
      <c r="AA98" t="s">
        <v>100</v>
      </c>
    </row>
    <row r="99" spans="2:27" x14ac:dyDescent="0.25">
      <c r="B99" t="s">
        <v>296</v>
      </c>
      <c r="C99" t="s">
        <v>51</v>
      </c>
      <c r="D99" t="s">
        <v>361</v>
      </c>
      <c r="E99" t="s">
        <v>53</v>
      </c>
      <c r="F99" s="5">
        <v>46333</v>
      </c>
      <c r="G99">
        <v>3</v>
      </c>
      <c r="H99">
        <v>18</v>
      </c>
      <c r="K99" t="s">
        <v>404</v>
      </c>
      <c r="U99">
        <v>101</v>
      </c>
      <c r="V99">
        <v>29</v>
      </c>
      <c r="W99">
        <v>5</v>
      </c>
      <c r="Y99">
        <v>12</v>
      </c>
      <c r="Z99">
        <f t="shared" si="7"/>
        <v>135</v>
      </c>
      <c r="AA99" t="s">
        <v>913</v>
      </c>
    </row>
    <row r="100" spans="2:27" x14ac:dyDescent="0.25">
      <c r="B100" t="s">
        <v>136</v>
      </c>
      <c r="C100" t="s">
        <v>51</v>
      </c>
      <c r="D100" t="s">
        <v>137</v>
      </c>
      <c r="E100" t="s">
        <v>53</v>
      </c>
      <c r="F100" s="5" t="s">
        <v>393</v>
      </c>
      <c r="G100">
        <v>3</v>
      </c>
      <c r="H100">
        <v>6</v>
      </c>
      <c r="K100" t="s">
        <v>404</v>
      </c>
      <c r="U100">
        <v>18</v>
      </c>
      <c r="V100">
        <v>1</v>
      </c>
      <c r="W100">
        <v>18</v>
      </c>
      <c r="X100">
        <v>1</v>
      </c>
      <c r="Y100">
        <v>12</v>
      </c>
      <c r="Z100">
        <f t="shared" si="7"/>
        <v>38</v>
      </c>
      <c r="AA100" t="s">
        <v>906</v>
      </c>
    </row>
    <row r="101" spans="2:27" x14ac:dyDescent="0.25">
      <c r="B101" t="s">
        <v>297</v>
      </c>
      <c r="C101" t="s">
        <v>51</v>
      </c>
      <c r="D101" t="s">
        <v>362</v>
      </c>
      <c r="E101" t="s">
        <v>53</v>
      </c>
      <c r="F101" s="5" t="s">
        <v>54</v>
      </c>
      <c r="G101">
        <v>4</v>
      </c>
      <c r="H101">
        <v>8</v>
      </c>
      <c r="K101" t="s">
        <v>404</v>
      </c>
      <c r="U101">
        <v>32</v>
      </c>
      <c r="V101">
        <v>8</v>
      </c>
      <c r="Y101">
        <v>12</v>
      </c>
      <c r="Z101">
        <f t="shared" si="7"/>
        <v>40</v>
      </c>
      <c r="AA101" t="s">
        <v>906</v>
      </c>
    </row>
    <row r="102" spans="2:27" x14ac:dyDescent="0.25">
      <c r="B102" t="s">
        <v>298</v>
      </c>
      <c r="C102" t="s">
        <v>84</v>
      </c>
      <c r="D102" t="s">
        <v>363</v>
      </c>
      <c r="E102" t="s">
        <v>53</v>
      </c>
      <c r="F102" s="5">
        <v>46149</v>
      </c>
      <c r="G102">
        <v>3</v>
      </c>
      <c r="H102">
        <v>3</v>
      </c>
      <c r="U102">
        <v>4</v>
      </c>
      <c r="W102">
        <v>4</v>
      </c>
      <c r="Y102">
        <v>12</v>
      </c>
      <c r="Z102">
        <f t="shared" si="7"/>
        <v>8</v>
      </c>
      <c r="AA102" t="s">
        <v>887</v>
      </c>
    </row>
    <row r="103" spans="2:27" x14ac:dyDescent="0.25">
      <c r="B103" t="s">
        <v>299</v>
      </c>
      <c r="C103" t="s">
        <v>51</v>
      </c>
      <c r="D103" t="s">
        <v>364</v>
      </c>
      <c r="E103" t="s">
        <v>53</v>
      </c>
      <c r="F103" s="5" t="s">
        <v>394</v>
      </c>
      <c r="G103">
        <v>4</v>
      </c>
      <c r="H103">
        <v>4</v>
      </c>
      <c r="U103">
        <v>50</v>
      </c>
      <c r="V103">
        <v>9</v>
      </c>
      <c r="W103">
        <v>4</v>
      </c>
      <c r="X103">
        <v>1</v>
      </c>
      <c r="Y103">
        <v>12</v>
      </c>
      <c r="Z103">
        <f t="shared" si="7"/>
        <v>64</v>
      </c>
      <c r="AA103" t="s">
        <v>898</v>
      </c>
    </row>
    <row r="104" spans="2:27" x14ac:dyDescent="0.25">
      <c r="B104" t="s">
        <v>300</v>
      </c>
      <c r="C104" t="s">
        <v>84</v>
      </c>
      <c r="D104" t="s">
        <v>365</v>
      </c>
      <c r="E104" t="s">
        <v>53</v>
      </c>
      <c r="F104" s="5" t="s">
        <v>395</v>
      </c>
      <c r="G104">
        <v>2</v>
      </c>
      <c r="H104">
        <v>2</v>
      </c>
      <c r="U104">
        <v>4</v>
      </c>
      <c r="W104">
        <v>4</v>
      </c>
      <c r="Y104">
        <v>12</v>
      </c>
      <c r="Z104">
        <f t="shared" si="7"/>
        <v>8</v>
      </c>
      <c r="AA104" t="s">
        <v>901</v>
      </c>
    </row>
    <row r="105" spans="2:27" x14ac:dyDescent="0.25">
      <c r="B105" t="s">
        <v>301</v>
      </c>
      <c r="C105" t="s">
        <v>75</v>
      </c>
      <c r="D105" t="s">
        <v>366</v>
      </c>
      <c r="E105" t="s">
        <v>76</v>
      </c>
      <c r="F105" s="5" t="s">
        <v>395</v>
      </c>
      <c r="G105">
        <v>3</v>
      </c>
      <c r="H105">
        <v>3</v>
      </c>
      <c r="U105">
        <v>9</v>
      </c>
      <c r="V105">
        <v>3</v>
      </c>
      <c r="W105">
        <v>1</v>
      </c>
      <c r="X105">
        <v>1</v>
      </c>
      <c r="Y105">
        <v>12</v>
      </c>
      <c r="Z105">
        <f t="shared" si="7"/>
        <v>14</v>
      </c>
      <c r="AA105" t="s">
        <v>914</v>
      </c>
    </row>
    <row r="106" spans="2:27" x14ac:dyDescent="0.25">
      <c r="B106" t="s">
        <v>138</v>
      </c>
      <c r="C106" t="s">
        <v>84</v>
      </c>
      <c r="D106" t="s">
        <v>139</v>
      </c>
      <c r="E106" t="s">
        <v>53</v>
      </c>
      <c r="F106" s="5" t="s">
        <v>396</v>
      </c>
      <c r="G106">
        <v>3</v>
      </c>
      <c r="H106">
        <v>3</v>
      </c>
      <c r="U106">
        <v>8</v>
      </c>
      <c r="V106">
        <v>1</v>
      </c>
      <c r="W106">
        <v>1</v>
      </c>
      <c r="X106">
        <v>1</v>
      </c>
      <c r="Y106">
        <v>12</v>
      </c>
      <c r="Z106">
        <f t="shared" si="7"/>
        <v>11</v>
      </c>
      <c r="AA106" t="s">
        <v>895</v>
      </c>
    </row>
    <row r="107" spans="2:27" x14ac:dyDescent="0.25">
      <c r="B107" t="s">
        <v>140</v>
      </c>
      <c r="C107" t="s">
        <v>84</v>
      </c>
      <c r="D107" t="s">
        <v>141</v>
      </c>
      <c r="E107" t="s">
        <v>53</v>
      </c>
      <c r="F107" s="5" t="s">
        <v>396</v>
      </c>
      <c r="G107">
        <v>3</v>
      </c>
      <c r="H107">
        <v>3</v>
      </c>
      <c r="U107">
        <v>7</v>
      </c>
      <c r="V107">
        <v>1</v>
      </c>
      <c r="Y107">
        <v>12</v>
      </c>
      <c r="Z107">
        <f t="shared" si="7"/>
        <v>8</v>
      </c>
      <c r="AA107" t="s">
        <v>880</v>
      </c>
    </row>
    <row r="108" spans="2:27" x14ac:dyDescent="0.25">
      <c r="B108" t="s">
        <v>142</v>
      </c>
      <c r="C108" t="s">
        <v>84</v>
      </c>
      <c r="D108" t="s">
        <v>143</v>
      </c>
      <c r="E108" t="s">
        <v>53</v>
      </c>
      <c r="F108" s="5" t="s">
        <v>395</v>
      </c>
      <c r="G108">
        <v>3</v>
      </c>
      <c r="H108">
        <v>3</v>
      </c>
      <c r="U108">
        <v>9</v>
      </c>
      <c r="V108">
        <v>1</v>
      </c>
      <c r="W108">
        <v>1</v>
      </c>
      <c r="X108">
        <v>1</v>
      </c>
      <c r="Y108">
        <v>12</v>
      </c>
      <c r="Z108">
        <f t="shared" si="7"/>
        <v>12</v>
      </c>
      <c r="AA108" t="s">
        <v>895</v>
      </c>
    </row>
    <row r="109" spans="2:27" x14ac:dyDescent="0.25">
      <c r="B109" t="s">
        <v>302</v>
      </c>
      <c r="C109" t="s">
        <v>84</v>
      </c>
      <c r="D109" t="s">
        <v>144</v>
      </c>
      <c r="E109" t="s">
        <v>53</v>
      </c>
      <c r="F109" s="5" t="s">
        <v>397</v>
      </c>
      <c r="G109">
        <v>3</v>
      </c>
      <c r="H109">
        <v>3</v>
      </c>
      <c r="U109">
        <v>5</v>
      </c>
      <c r="V109">
        <v>1</v>
      </c>
      <c r="W109">
        <v>1</v>
      </c>
      <c r="X109">
        <v>1</v>
      </c>
      <c r="Y109">
        <v>12</v>
      </c>
      <c r="Z109">
        <f t="shared" si="7"/>
        <v>8</v>
      </c>
      <c r="AA109" t="s">
        <v>895</v>
      </c>
    </row>
    <row r="110" spans="2:27" x14ac:dyDescent="0.25">
      <c r="B110" t="s">
        <v>145</v>
      </c>
      <c r="C110" t="s">
        <v>84</v>
      </c>
      <c r="D110" t="s">
        <v>146</v>
      </c>
      <c r="E110" t="s">
        <v>53</v>
      </c>
      <c r="F110" s="5" t="s">
        <v>398</v>
      </c>
      <c r="G110">
        <v>3</v>
      </c>
      <c r="H110">
        <v>3</v>
      </c>
      <c r="U110">
        <v>5</v>
      </c>
      <c r="V110">
        <v>1</v>
      </c>
      <c r="W110">
        <v>1</v>
      </c>
      <c r="X110">
        <v>1</v>
      </c>
      <c r="Y110">
        <v>12</v>
      </c>
      <c r="Z110">
        <f t="shared" si="7"/>
        <v>8</v>
      </c>
      <c r="AA110" t="s">
        <v>895</v>
      </c>
    </row>
    <row r="111" spans="2:27" x14ac:dyDescent="0.25">
      <c r="B111" t="s">
        <v>147</v>
      </c>
      <c r="C111" t="s">
        <v>84</v>
      </c>
      <c r="D111" t="s">
        <v>148</v>
      </c>
      <c r="E111" t="s">
        <v>53</v>
      </c>
      <c r="F111" s="5" t="s">
        <v>399</v>
      </c>
      <c r="G111">
        <v>3</v>
      </c>
      <c r="H111">
        <v>3</v>
      </c>
      <c r="U111">
        <v>4</v>
      </c>
      <c r="W111">
        <v>4</v>
      </c>
      <c r="Y111">
        <v>12</v>
      </c>
      <c r="Z111">
        <f t="shared" si="7"/>
        <v>8</v>
      </c>
      <c r="AA111" t="s">
        <v>899</v>
      </c>
    </row>
    <row r="112" spans="2:27" x14ac:dyDescent="0.25">
      <c r="B112" t="s">
        <v>149</v>
      </c>
      <c r="C112" t="s">
        <v>84</v>
      </c>
      <c r="D112" t="s">
        <v>150</v>
      </c>
      <c r="E112" t="s">
        <v>53</v>
      </c>
      <c r="F112" s="5" t="s">
        <v>397</v>
      </c>
      <c r="G112">
        <v>3</v>
      </c>
      <c r="H112">
        <v>3</v>
      </c>
      <c r="U112">
        <v>9</v>
      </c>
      <c r="W112">
        <v>9</v>
      </c>
      <c r="Y112">
        <v>12</v>
      </c>
      <c r="Z112">
        <f t="shared" si="7"/>
        <v>18</v>
      </c>
      <c r="AA112" t="s">
        <v>895</v>
      </c>
    </row>
    <row r="113" spans="2:27" x14ac:dyDescent="0.25">
      <c r="B113" t="s">
        <v>151</v>
      </c>
      <c r="C113" t="s">
        <v>51</v>
      </c>
      <c r="D113" t="s">
        <v>152</v>
      </c>
      <c r="E113" t="s">
        <v>53</v>
      </c>
      <c r="F113" s="5" t="s">
        <v>400</v>
      </c>
      <c r="G113">
        <v>3</v>
      </c>
      <c r="H113">
        <v>6</v>
      </c>
      <c r="U113">
        <v>12</v>
      </c>
      <c r="W113">
        <v>12</v>
      </c>
      <c r="Y113">
        <v>12</v>
      </c>
      <c r="Z113">
        <f t="shared" si="7"/>
        <v>24</v>
      </c>
      <c r="AA113" t="s">
        <v>895</v>
      </c>
    </row>
    <row r="114" spans="2:27" x14ac:dyDescent="0.25">
      <c r="B114" t="s">
        <v>476</v>
      </c>
      <c r="C114" t="s">
        <v>84</v>
      </c>
      <c r="D114" t="s">
        <v>477</v>
      </c>
      <c r="E114" t="s">
        <v>53</v>
      </c>
      <c r="F114" s="5" t="s">
        <v>478</v>
      </c>
      <c r="G114">
        <v>3</v>
      </c>
      <c r="H114">
        <v>3</v>
      </c>
      <c r="U114">
        <v>4</v>
      </c>
      <c r="V114">
        <v>1</v>
      </c>
      <c r="W114">
        <v>1</v>
      </c>
      <c r="X114">
        <v>1</v>
      </c>
      <c r="Y114">
        <v>12</v>
      </c>
      <c r="Z114">
        <f t="shared" si="7"/>
        <v>7</v>
      </c>
      <c r="AA114" t="s">
        <v>895</v>
      </c>
    </row>
    <row r="115" spans="2:27" x14ac:dyDescent="0.25">
      <c r="B115" t="s">
        <v>303</v>
      </c>
      <c r="C115" t="s">
        <v>84</v>
      </c>
      <c r="D115" t="s">
        <v>367</v>
      </c>
      <c r="E115" t="s">
        <v>53</v>
      </c>
      <c r="F115" s="5">
        <v>46333</v>
      </c>
      <c r="G115">
        <v>3</v>
      </c>
      <c r="H115">
        <v>12</v>
      </c>
      <c r="U115">
        <v>65</v>
      </c>
      <c r="V115">
        <v>7</v>
      </c>
      <c r="W115">
        <v>16</v>
      </c>
      <c r="Y115">
        <v>12</v>
      </c>
      <c r="Z115">
        <f t="shared" si="7"/>
        <v>88</v>
      </c>
      <c r="AA115" t="s">
        <v>895</v>
      </c>
    </row>
    <row r="116" spans="2:27" x14ac:dyDescent="0.25">
      <c r="B116" t="s">
        <v>479</v>
      </c>
      <c r="C116" t="s">
        <v>84</v>
      </c>
      <c r="D116" t="s">
        <v>480</v>
      </c>
      <c r="E116" t="s">
        <v>53</v>
      </c>
      <c r="F116" s="5" t="s">
        <v>481</v>
      </c>
      <c r="G116">
        <v>2</v>
      </c>
      <c r="H116">
        <v>2</v>
      </c>
      <c r="U116">
        <v>4</v>
      </c>
      <c r="W116">
        <v>4</v>
      </c>
      <c r="Y116">
        <v>12</v>
      </c>
      <c r="Z116">
        <f t="shared" si="7"/>
        <v>8</v>
      </c>
      <c r="AA116" t="s">
        <v>887</v>
      </c>
    </row>
    <row r="117" spans="2:27" x14ac:dyDescent="0.25">
      <c r="B117" t="s">
        <v>482</v>
      </c>
      <c r="C117" t="s">
        <v>84</v>
      </c>
      <c r="D117" t="s">
        <v>483</v>
      </c>
      <c r="E117" t="s">
        <v>53</v>
      </c>
      <c r="F117" s="5">
        <v>46030</v>
      </c>
      <c r="G117">
        <v>3</v>
      </c>
      <c r="H117">
        <v>3</v>
      </c>
      <c r="U117">
        <v>5</v>
      </c>
      <c r="V117">
        <v>1</v>
      </c>
      <c r="W117">
        <v>1</v>
      </c>
      <c r="X117">
        <v>1</v>
      </c>
      <c r="Y117">
        <v>12</v>
      </c>
      <c r="Z117">
        <f t="shared" si="7"/>
        <v>8</v>
      </c>
      <c r="AA117" t="s">
        <v>895</v>
      </c>
    </row>
    <row r="118" spans="2:27" x14ac:dyDescent="0.25">
      <c r="B118" t="s">
        <v>484</v>
      </c>
      <c r="C118" t="s">
        <v>84</v>
      </c>
      <c r="D118" t="s">
        <v>485</v>
      </c>
      <c r="E118" t="s">
        <v>53</v>
      </c>
      <c r="F118" s="5">
        <v>46150</v>
      </c>
      <c r="G118">
        <v>3</v>
      </c>
      <c r="H118">
        <v>3</v>
      </c>
      <c r="U118">
        <v>9</v>
      </c>
      <c r="V118">
        <v>1</v>
      </c>
      <c r="W118">
        <v>1</v>
      </c>
      <c r="X118">
        <v>1</v>
      </c>
      <c r="Y118">
        <v>12</v>
      </c>
      <c r="Z118">
        <f t="shared" si="7"/>
        <v>12</v>
      </c>
    </row>
    <row r="119" spans="2:27" x14ac:dyDescent="0.25">
      <c r="B119" t="s">
        <v>486</v>
      </c>
      <c r="C119" t="s">
        <v>51</v>
      </c>
      <c r="D119" t="s">
        <v>487</v>
      </c>
      <c r="E119" t="s">
        <v>53</v>
      </c>
      <c r="F119" s="5" t="s">
        <v>54</v>
      </c>
      <c r="G119">
        <v>3</v>
      </c>
      <c r="H119">
        <v>6</v>
      </c>
      <c r="U119">
        <v>40</v>
      </c>
      <c r="V119">
        <v>6</v>
      </c>
      <c r="X119">
        <v>2</v>
      </c>
      <c r="Y119">
        <v>12</v>
      </c>
      <c r="Z119">
        <f t="shared" si="7"/>
        <v>48</v>
      </c>
      <c r="AA119" t="s">
        <v>915</v>
      </c>
    </row>
    <row r="120" spans="2:27" x14ac:dyDescent="0.25">
      <c r="B120" t="s">
        <v>488</v>
      </c>
      <c r="C120" t="s">
        <v>84</v>
      </c>
      <c r="D120" t="s">
        <v>489</v>
      </c>
      <c r="E120" t="s">
        <v>53</v>
      </c>
      <c r="F120" s="5">
        <v>46242</v>
      </c>
      <c r="G120">
        <v>3</v>
      </c>
      <c r="H120">
        <v>3</v>
      </c>
      <c r="U120">
        <v>8</v>
      </c>
      <c r="V120">
        <v>1</v>
      </c>
      <c r="W120">
        <v>1</v>
      </c>
      <c r="X120">
        <v>1</v>
      </c>
      <c r="Y120">
        <v>12</v>
      </c>
      <c r="Z120">
        <f t="shared" si="7"/>
        <v>11</v>
      </c>
      <c r="AA120" t="s">
        <v>895</v>
      </c>
    </row>
    <row r="121" spans="2:27" x14ac:dyDescent="0.25">
      <c r="B121" t="s">
        <v>490</v>
      </c>
      <c r="C121" t="s">
        <v>51</v>
      </c>
      <c r="D121" t="s">
        <v>491</v>
      </c>
      <c r="E121" t="s">
        <v>53</v>
      </c>
      <c r="F121" s="5" t="s">
        <v>492</v>
      </c>
      <c r="G121">
        <v>4</v>
      </c>
      <c r="H121">
        <v>20</v>
      </c>
      <c r="U121">
        <v>45</v>
      </c>
      <c r="V121">
        <v>22</v>
      </c>
      <c r="W121">
        <v>5</v>
      </c>
      <c r="X121">
        <v>1</v>
      </c>
      <c r="Y121">
        <v>12</v>
      </c>
      <c r="Z121">
        <f t="shared" si="7"/>
        <v>73</v>
      </c>
      <c r="AA121" t="s">
        <v>906</v>
      </c>
    </row>
    <row r="122" spans="2:27" x14ac:dyDescent="0.25">
      <c r="B122" t="s">
        <v>493</v>
      </c>
      <c r="C122" t="s">
        <v>84</v>
      </c>
      <c r="D122" t="s">
        <v>494</v>
      </c>
      <c r="E122" t="s">
        <v>53</v>
      </c>
      <c r="F122" s="5">
        <v>46334</v>
      </c>
      <c r="G122">
        <v>3</v>
      </c>
      <c r="H122">
        <v>3</v>
      </c>
      <c r="U122">
        <v>8</v>
      </c>
      <c r="V122">
        <v>1</v>
      </c>
      <c r="W122">
        <v>1</v>
      </c>
      <c r="X122">
        <v>1</v>
      </c>
      <c r="Y122">
        <v>12</v>
      </c>
      <c r="Z122">
        <f t="shared" si="7"/>
        <v>11</v>
      </c>
      <c r="AA122" t="s">
        <v>895</v>
      </c>
    </row>
    <row r="123" spans="2:27" x14ac:dyDescent="0.25">
      <c r="B123" t="s">
        <v>495</v>
      </c>
      <c r="C123" t="s">
        <v>84</v>
      </c>
      <c r="D123" t="s">
        <v>496</v>
      </c>
      <c r="E123" t="s">
        <v>53</v>
      </c>
      <c r="F123" s="5" t="s">
        <v>497</v>
      </c>
      <c r="G123">
        <v>3</v>
      </c>
      <c r="H123">
        <v>3</v>
      </c>
      <c r="U123">
        <v>9</v>
      </c>
      <c r="V123">
        <v>1</v>
      </c>
      <c r="W123">
        <v>1</v>
      </c>
      <c r="X123">
        <v>1</v>
      </c>
      <c r="Y123">
        <v>12</v>
      </c>
      <c r="Z123">
        <f t="shared" si="7"/>
        <v>12</v>
      </c>
      <c r="AA123" t="s">
        <v>895</v>
      </c>
    </row>
    <row r="124" spans="2:27" x14ac:dyDescent="0.25">
      <c r="B124" t="s">
        <v>498</v>
      </c>
      <c r="C124" t="s">
        <v>84</v>
      </c>
      <c r="D124" t="s">
        <v>499</v>
      </c>
      <c r="E124" t="s">
        <v>53</v>
      </c>
      <c r="F124" s="5" t="s">
        <v>497</v>
      </c>
      <c r="G124">
        <v>3</v>
      </c>
      <c r="H124">
        <v>3</v>
      </c>
      <c r="U124">
        <v>8</v>
      </c>
      <c r="V124">
        <v>1</v>
      </c>
      <c r="W124">
        <v>1</v>
      </c>
      <c r="X124">
        <v>1</v>
      </c>
      <c r="Y124">
        <v>12</v>
      </c>
      <c r="Z124">
        <f t="shared" si="7"/>
        <v>11</v>
      </c>
      <c r="AA124" t="s">
        <v>895</v>
      </c>
    </row>
    <row r="125" spans="2:27" x14ac:dyDescent="0.25">
      <c r="B125" t="s">
        <v>500</v>
      </c>
      <c r="C125" t="s">
        <v>75</v>
      </c>
      <c r="D125" t="s">
        <v>501</v>
      </c>
      <c r="E125" t="s">
        <v>114</v>
      </c>
      <c r="F125" s="5">
        <v>46060</v>
      </c>
      <c r="G125">
        <v>4</v>
      </c>
      <c r="H125">
        <v>4</v>
      </c>
      <c r="V125">
        <v>2</v>
      </c>
      <c r="X125">
        <v>2</v>
      </c>
      <c r="Y125">
        <v>12</v>
      </c>
      <c r="Z125">
        <f t="shared" si="7"/>
        <v>4</v>
      </c>
      <c r="AA125" t="s">
        <v>114</v>
      </c>
    </row>
    <row r="126" spans="2:27" x14ac:dyDescent="0.25">
      <c r="B126" t="s">
        <v>502</v>
      </c>
      <c r="C126" t="s">
        <v>75</v>
      </c>
      <c r="D126" t="s">
        <v>503</v>
      </c>
      <c r="E126" t="s">
        <v>76</v>
      </c>
      <c r="F126" s="5" t="s">
        <v>504</v>
      </c>
      <c r="G126">
        <v>3</v>
      </c>
      <c r="H126">
        <v>27</v>
      </c>
      <c r="U126">
        <v>126</v>
      </c>
      <c r="V126">
        <v>27</v>
      </c>
      <c r="W126">
        <v>2</v>
      </c>
      <c r="X126">
        <v>1</v>
      </c>
      <c r="Y126">
        <v>12</v>
      </c>
      <c r="Z126">
        <f t="shared" si="7"/>
        <v>156</v>
      </c>
      <c r="AA126" t="s">
        <v>909</v>
      </c>
    </row>
    <row r="127" spans="2:27" x14ac:dyDescent="0.25">
      <c r="B127" t="s">
        <v>505</v>
      </c>
      <c r="C127" t="s">
        <v>84</v>
      </c>
      <c r="D127" t="s">
        <v>506</v>
      </c>
      <c r="E127" t="s">
        <v>53</v>
      </c>
      <c r="F127" s="5" t="s">
        <v>507</v>
      </c>
      <c r="G127">
        <v>3</v>
      </c>
      <c r="H127">
        <v>3</v>
      </c>
      <c r="U127">
        <v>5</v>
      </c>
      <c r="V127">
        <v>1</v>
      </c>
      <c r="W127">
        <v>1</v>
      </c>
      <c r="X127">
        <v>1</v>
      </c>
      <c r="Y127">
        <v>12</v>
      </c>
      <c r="Z127">
        <f t="shared" si="7"/>
        <v>8</v>
      </c>
      <c r="AA127" t="s">
        <v>895</v>
      </c>
    </row>
    <row r="128" spans="2:27" x14ac:dyDescent="0.25">
      <c r="B128" t="s">
        <v>508</v>
      </c>
      <c r="C128" t="s">
        <v>75</v>
      </c>
      <c r="D128" t="s">
        <v>509</v>
      </c>
      <c r="E128" t="s">
        <v>76</v>
      </c>
      <c r="F128" s="5" t="s">
        <v>510</v>
      </c>
      <c r="G128">
        <v>3</v>
      </c>
      <c r="H128">
        <v>33</v>
      </c>
      <c r="U128">
        <v>204</v>
      </c>
      <c r="V128">
        <v>56</v>
      </c>
      <c r="W128">
        <v>9</v>
      </c>
      <c r="X128">
        <v>2</v>
      </c>
      <c r="Y128">
        <v>12</v>
      </c>
      <c r="Z128">
        <f t="shared" si="7"/>
        <v>271</v>
      </c>
      <c r="AA128" t="s">
        <v>916</v>
      </c>
    </row>
    <row r="129" spans="2:27" x14ac:dyDescent="0.25">
      <c r="B129" t="s">
        <v>511</v>
      </c>
      <c r="C129" t="s">
        <v>84</v>
      </c>
      <c r="D129" t="s">
        <v>512</v>
      </c>
      <c r="E129" t="s">
        <v>53</v>
      </c>
      <c r="F129" s="5" t="s">
        <v>513</v>
      </c>
      <c r="G129">
        <v>3</v>
      </c>
      <c r="H129">
        <v>3</v>
      </c>
      <c r="U129">
        <v>6</v>
      </c>
      <c r="W129">
        <v>6</v>
      </c>
      <c r="Y129">
        <v>12</v>
      </c>
      <c r="Z129">
        <f t="shared" si="7"/>
        <v>12</v>
      </c>
      <c r="AA129" t="s">
        <v>887</v>
      </c>
    </row>
    <row r="130" spans="2:27" x14ac:dyDescent="0.25">
      <c r="B130" t="s">
        <v>514</v>
      </c>
      <c r="C130" t="s">
        <v>84</v>
      </c>
      <c r="D130" t="s">
        <v>515</v>
      </c>
      <c r="E130" t="s">
        <v>53</v>
      </c>
      <c r="F130" s="5" t="s">
        <v>513</v>
      </c>
      <c r="G130">
        <v>3</v>
      </c>
      <c r="H130">
        <v>3</v>
      </c>
      <c r="U130">
        <v>8</v>
      </c>
      <c r="V130">
        <v>1</v>
      </c>
      <c r="W130">
        <v>1</v>
      </c>
      <c r="X130">
        <v>1</v>
      </c>
      <c r="Y130">
        <v>12</v>
      </c>
      <c r="Z130">
        <f t="shared" si="7"/>
        <v>11</v>
      </c>
      <c r="AA130" t="s">
        <v>895</v>
      </c>
    </row>
    <row r="131" spans="2:27" x14ac:dyDescent="0.25">
      <c r="B131" t="s">
        <v>516</v>
      </c>
      <c r="C131" t="s">
        <v>84</v>
      </c>
      <c r="D131" t="s">
        <v>517</v>
      </c>
      <c r="E131" t="s">
        <v>53</v>
      </c>
      <c r="F131" s="5" t="s">
        <v>513</v>
      </c>
      <c r="G131">
        <v>3</v>
      </c>
      <c r="H131">
        <v>3</v>
      </c>
      <c r="U131">
        <v>6</v>
      </c>
      <c r="V131">
        <v>1</v>
      </c>
      <c r="W131">
        <v>1</v>
      </c>
      <c r="X131">
        <v>1</v>
      </c>
      <c r="Y131">
        <v>12</v>
      </c>
      <c r="Z131">
        <f t="shared" ref="Z131:Z194" si="8">SUM(U131:X131)</f>
        <v>9</v>
      </c>
      <c r="AA131" t="s">
        <v>895</v>
      </c>
    </row>
    <row r="132" spans="2:27" x14ac:dyDescent="0.25">
      <c r="B132" t="s">
        <v>518</v>
      </c>
      <c r="C132" t="s">
        <v>84</v>
      </c>
      <c r="D132" t="s">
        <v>519</v>
      </c>
      <c r="E132" t="s">
        <v>53</v>
      </c>
      <c r="F132" s="5" t="s">
        <v>481</v>
      </c>
      <c r="G132">
        <v>3</v>
      </c>
      <c r="H132">
        <v>3</v>
      </c>
      <c r="U132">
        <v>5</v>
      </c>
      <c r="V132">
        <v>1</v>
      </c>
      <c r="W132">
        <v>1</v>
      </c>
      <c r="X132">
        <v>1</v>
      </c>
      <c r="Y132">
        <v>12</v>
      </c>
      <c r="Z132">
        <f t="shared" si="8"/>
        <v>8</v>
      </c>
      <c r="AA132" t="s">
        <v>895</v>
      </c>
    </row>
    <row r="133" spans="2:27" x14ac:dyDescent="0.25">
      <c r="B133" t="s">
        <v>520</v>
      </c>
      <c r="C133" t="s">
        <v>84</v>
      </c>
      <c r="D133" t="s">
        <v>521</v>
      </c>
      <c r="E133" t="s">
        <v>53</v>
      </c>
      <c r="F133" s="5">
        <v>46274</v>
      </c>
      <c r="G133">
        <v>2</v>
      </c>
      <c r="H133">
        <v>2</v>
      </c>
      <c r="U133">
        <v>4</v>
      </c>
      <c r="W133">
        <v>4</v>
      </c>
      <c r="Y133">
        <v>12</v>
      </c>
      <c r="Z133">
        <f t="shared" si="8"/>
        <v>8</v>
      </c>
      <c r="AA133" t="s">
        <v>897</v>
      </c>
    </row>
    <row r="134" spans="2:27" x14ac:dyDescent="0.25">
      <c r="B134" t="s">
        <v>522</v>
      </c>
      <c r="C134" t="s">
        <v>84</v>
      </c>
      <c r="D134" t="s">
        <v>523</v>
      </c>
      <c r="E134" t="s">
        <v>53</v>
      </c>
      <c r="F134" s="5" t="s">
        <v>524</v>
      </c>
      <c r="G134">
        <v>3</v>
      </c>
      <c r="H134">
        <v>3</v>
      </c>
      <c r="U134">
        <v>8</v>
      </c>
      <c r="V134">
        <v>1</v>
      </c>
      <c r="W134">
        <v>1</v>
      </c>
      <c r="X134">
        <v>1</v>
      </c>
      <c r="Y134">
        <v>12</v>
      </c>
      <c r="Z134">
        <f t="shared" si="8"/>
        <v>11</v>
      </c>
      <c r="AA134" t="s">
        <v>895</v>
      </c>
    </row>
    <row r="135" spans="2:27" x14ac:dyDescent="0.25">
      <c r="B135" t="s">
        <v>525</v>
      </c>
      <c r="C135" t="s">
        <v>84</v>
      </c>
      <c r="D135" t="s">
        <v>526</v>
      </c>
      <c r="E135" t="s">
        <v>53</v>
      </c>
      <c r="F135" s="5">
        <v>46031</v>
      </c>
      <c r="G135">
        <v>3</v>
      </c>
      <c r="H135">
        <v>3</v>
      </c>
      <c r="U135">
        <v>5</v>
      </c>
      <c r="W135">
        <v>5</v>
      </c>
      <c r="Y135">
        <v>12</v>
      </c>
      <c r="Z135">
        <f t="shared" si="8"/>
        <v>10</v>
      </c>
      <c r="AA135" t="s">
        <v>917</v>
      </c>
    </row>
    <row r="136" spans="2:27" x14ac:dyDescent="0.25">
      <c r="B136" t="s">
        <v>527</v>
      </c>
      <c r="C136" t="s">
        <v>84</v>
      </c>
      <c r="D136" t="s">
        <v>528</v>
      </c>
      <c r="E136" t="s">
        <v>53</v>
      </c>
      <c r="F136" s="5" t="s">
        <v>510</v>
      </c>
      <c r="G136">
        <v>3</v>
      </c>
      <c r="H136">
        <v>3</v>
      </c>
      <c r="U136">
        <v>5</v>
      </c>
      <c r="V136">
        <v>1</v>
      </c>
      <c r="W136">
        <v>1</v>
      </c>
      <c r="X136">
        <v>1</v>
      </c>
      <c r="Y136">
        <v>12</v>
      </c>
      <c r="Z136">
        <f t="shared" si="8"/>
        <v>8</v>
      </c>
      <c r="AA136" t="s">
        <v>895</v>
      </c>
    </row>
    <row r="137" spans="2:27" x14ac:dyDescent="0.25">
      <c r="B137" t="s">
        <v>529</v>
      </c>
      <c r="C137" t="s">
        <v>84</v>
      </c>
      <c r="D137" t="s">
        <v>530</v>
      </c>
      <c r="E137" t="s">
        <v>53</v>
      </c>
      <c r="F137" s="5">
        <v>46031</v>
      </c>
      <c r="G137">
        <v>3</v>
      </c>
      <c r="H137">
        <v>3</v>
      </c>
      <c r="U137">
        <v>4</v>
      </c>
      <c r="W137">
        <v>4</v>
      </c>
      <c r="Y137">
        <v>12</v>
      </c>
      <c r="Z137">
        <f t="shared" si="8"/>
        <v>8</v>
      </c>
      <c r="AA137" t="s">
        <v>897</v>
      </c>
    </row>
    <row r="138" spans="2:27" x14ac:dyDescent="0.25">
      <c r="B138" t="s">
        <v>531</v>
      </c>
      <c r="C138" t="s">
        <v>84</v>
      </c>
      <c r="D138" t="s">
        <v>532</v>
      </c>
      <c r="E138" t="s">
        <v>53</v>
      </c>
      <c r="F138" s="5" t="s">
        <v>481</v>
      </c>
      <c r="G138">
        <v>3</v>
      </c>
      <c r="H138">
        <v>3</v>
      </c>
      <c r="U138">
        <v>5</v>
      </c>
      <c r="V138">
        <v>1</v>
      </c>
      <c r="W138">
        <v>1</v>
      </c>
      <c r="X138">
        <v>1</v>
      </c>
      <c r="Y138">
        <v>12</v>
      </c>
      <c r="Z138">
        <f t="shared" si="8"/>
        <v>8</v>
      </c>
      <c r="AA138" t="s">
        <v>895</v>
      </c>
    </row>
    <row r="139" spans="2:27" x14ac:dyDescent="0.25">
      <c r="B139" t="s">
        <v>533</v>
      </c>
      <c r="C139" t="s">
        <v>84</v>
      </c>
      <c r="D139" t="s">
        <v>534</v>
      </c>
      <c r="E139" t="s">
        <v>53</v>
      </c>
      <c r="F139" s="5" t="s">
        <v>524</v>
      </c>
      <c r="G139">
        <v>3</v>
      </c>
      <c r="H139">
        <v>3</v>
      </c>
      <c r="U139">
        <v>9</v>
      </c>
      <c r="V139">
        <v>1</v>
      </c>
      <c r="W139">
        <v>1</v>
      </c>
      <c r="X139">
        <v>1</v>
      </c>
      <c r="Y139">
        <v>12</v>
      </c>
      <c r="Z139">
        <f t="shared" si="8"/>
        <v>12</v>
      </c>
      <c r="AA139" t="s">
        <v>895</v>
      </c>
    </row>
    <row r="140" spans="2:27" x14ac:dyDescent="0.25">
      <c r="B140" t="s">
        <v>535</v>
      </c>
      <c r="C140" t="s">
        <v>84</v>
      </c>
      <c r="D140" t="s">
        <v>536</v>
      </c>
      <c r="E140" t="s">
        <v>53</v>
      </c>
      <c r="F140" s="5" t="s">
        <v>524</v>
      </c>
      <c r="G140">
        <v>3</v>
      </c>
      <c r="H140">
        <v>3</v>
      </c>
      <c r="U140">
        <v>5</v>
      </c>
      <c r="V140">
        <v>1</v>
      </c>
      <c r="W140">
        <v>1</v>
      </c>
      <c r="X140">
        <v>1</v>
      </c>
      <c r="Y140">
        <v>12</v>
      </c>
      <c r="Z140">
        <f t="shared" si="8"/>
        <v>8</v>
      </c>
      <c r="AA140" t="s">
        <v>895</v>
      </c>
    </row>
    <row r="141" spans="2:27" x14ac:dyDescent="0.25">
      <c r="B141" t="s">
        <v>537</v>
      </c>
      <c r="C141" t="s">
        <v>51</v>
      </c>
      <c r="D141" t="s">
        <v>538</v>
      </c>
      <c r="E141" t="s">
        <v>53</v>
      </c>
      <c r="F141" s="5" t="s">
        <v>510</v>
      </c>
      <c r="G141">
        <v>3</v>
      </c>
      <c r="H141">
        <v>18</v>
      </c>
      <c r="U141">
        <v>74</v>
      </c>
      <c r="V141">
        <v>40</v>
      </c>
      <c r="W141">
        <v>8</v>
      </c>
      <c r="X141">
        <v>1</v>
      </c>
      <c r="Y141">
        <v>12</v>
      </c>
      <c r="Z141">
        <f t="shared" si="8"/>
        <v>123</v>
      </c>
      <c r="AA141" t="s">
        <v>894</v>
      </c>
    </row>
    <row r="142" spans="2:27" x14ac:dyDescent="0.25">
      <c r="B142" t="s">
        <v>539</v>
      </c>
      <c r="C142" t="s">
        <v>51</v>
      </c>
      <c r="D142" t="s">
        <v>540</v>
      </c>
      <c r="E142" t="s">
        <v>53</v>
      </c>
      <c r="F142" s="5">
        <v>46031</v>
      </c>
      <c r="G142">
        <v>3</v>
      </c>
      <c r="H142">
        <v>3</v>
      </c>
      <c r="U142">
        <v>9</v>
      </c>
      <c r="V142">
        <v>4</v>
      </c>
      <c r="Y142">
        <v>12</v>
      </c>
      <c r="Z142">
        <f t="shared" si="8"/>
        <v>13</v>
      </c>
      <c r="AA142" t="s">
        <v>878</v>
      </c>
    </row>
    <row r="143" spans="2:27" x14ac:dyDescent="0.25">
      <c r="B143" t="s">
        <v>541</v>
      </c>
      <c r="C143" t="s">
        <v>84</v>
      </c>
      <c r="D143" t="s">
        <v>542</v>
      </c>
      <c r="E143" t="s">
        <v>53</v>
      </c>
      <c r="F143" s="5" t="s">
        <v>510</v>
      </c>
      <c r="G143">
        <v>3</v>
      </c>
      <c r="H143">
        <v>3</v>
      </c>
      <c r="U143">
        <v>5</v>
      </c>
      <c r="V143">
        <v>1</v>
      </c>
      <c r="W143">
        <v>1</v>
      </c>
      <c r="X143">
        <v>1</v>
      </c>
      <c r="Y143">
        <v>12</v>
      </c>
      <c r="Z143">
        <f t="shared" si="8"/>
        <v>8</v>
      </c>
      <c r="AA143" t="s">
        <v>895</v>
      </c>
    </row>
    <row r="144" spans="2:27" x14ac:dyDescent="0.25">
      <c r="B144" t="s">
        <v>543</v>
      </c>
      <c r="C144" t="s">
        <v>84</v>
      </c>
      <c r="D144" t="s">
        <v>544</v>
      </c>
      <c r="E144" t="s">
        <v>53</v>
      </c>
      <c r="F144" s="5" t="s">
        <v>510</v>
      </c>
      <c r="G144">
        <v>3</v>
      </c>
      <c r="H144">
        <v>3</v>
      </c>
      <c r="U144">
        <v>15</v>
      </c>
      <c r="V144">
        <v>4</v>
      </c>
      <c r="W144">
        <v>1</v>
      </c>
      <c r="X144">
        <v>2</v>
      </c>
      <c r="Y144">
        <v>12</v>
      </c>
      <c r="Z144">
        <f t="shared" si="8"/>
        <v>22</v>
      </c>
      <c r="AA144" t="s">
        <v>887</v>
      </c>
    </row>
    <row r="145" spans="2:27" x14ac:dyDescent="0.25">
      <c r="B145" t="s">
        <v>545</v>
      </c>
      <c r="C145" t="s">
        <v>75</v>
      </c>
      <c r="D145" t="s">
        <v>546</v>
      </c>
      <c r="E145" t="s">
        <v>76</v>
      </c>
      <c r="F145" s="5" t="s">
        <v>547</v>
      </c>
      <c r="G145">
        <v>3</v>
      </c>
      <c r="H145">
        <v>3</v>
      </c>
      <c r="U145">
        <v>8</v>
      </c>
      <c r="V145">
        <v>3</v>
      </c>
      <c r="W145">
        <v>1</v>
      </c>
      <c r="X145">
        <v>1</v>
      </c>
      <c r="Y145">
        <v>12</v>
      </c>
      <c r="Z145">
        <f t="shared" si="8"/>
        <v>13</v>
      </c>
      <c r="AA145" t="s">
        <v>914</v>
      </c>
    </row>
    <row r="146" spans="2:27" x14ac:dyDescent="0.25">
      <c r="B146" t="s">
        <v>304</v>
      </c>
      <c r="C146" t="s">
        <v>75</v>
      </c>
      <c r="D146" t="s">
        <v>368</v>
      </c>
      <c r="E146" t="s">
        <v>76</v>
      </c>
      <c r="F146" s="5" t="s">
        <v>385</v>
      </c>
      <c r="G146">
        <v>4</v>
      </c>
      <c r="H146">
        <v>16</v>
      </c>
      <c r="U146">
        <v>53</v>
      </c>
      <c r="V146">
        <v>17</v>
      </c>
      <c r="W146">
        <v>53</v>
      </c>
      <c r="X146">
        <v>4</v>
      </c>
      <c r="Y146">
        <v>12</v>
      </c>
      <c r="Z146">
        <f t="shared" si="8"/>
        <v>127</v>
      </c>
      <c r="AA146" t="s">
        <v>909</v>
      </c>
    </row>
    <row r="147" spans="2:27" x14ac:dyDescent="0.25">
      <c r="B147" t="s">
        <v>548</v>
      </c>
      <c r="C147" t="s">
        <v>84</v>
      </c>
      <c r="D147" t="s">
        <v>549</v>
      </c>
      <c r="E147" t="s">
        <v>53</v>
      </c>
      <c r="F147" s="5">
        <v>46183</v>
      </c>
      <c r="G147">
        <v>3</v>
      </c>
      <c r="H147">
        <v>3</v>
      </c>
      <c r="U147">
        <v>5</v>
      </c>
      <c r="W147">
        <v>5</v>
      </c>
      <c r="Y147">
        <v>12</v>
      </c>
      <c r="Z147">
        <f t="shared" si="8"/>
        <v>10</v>
      </c>
      <c r="AA147" t="s">
        <v>887</v>
      </c>
    </row>
    <row r="148" spans="2:27" x14ac:dyDescent="0.25">
      <c r="B148" t="s">
        <v>550</v>
      </c>
      <c r="C148" t="s">
        <v>84</v>
      </c>
      <c r="D148" t="s">
        <v>551</v>
      </c>
      <c r="E148" t="s">
        <v>53</v>
      </c>
      <c r="F148" s="5">
        <v>46031</v>
      </c>
      <c r="G148">
        <v>3</v>
      </c>
      <c r="H148">
        <v>3</v>
      </c>
      <c r="U148">
        <v>6</v>
      </c>
      <c r="W148">
        <v>6</v>
      </c>
      <c r="Y148">
        <v>12</v>
      </c>
      <c r="Z148">
        <f t="shared" si="8"/>
        <v>12</v>
      </c>
      <c r="AA148" t="s">
        <v>887</v>
      </c>
    </row>
    <row r="149" spans="2:27" x14ac:dyDescent="0.25">
      <c r="B149" t="s">
        <v>552</v>
      </c>
      <c r="C149" t="s">
        <v>84</v>
      </c>
      <c r="D149" t="s">
        <v>553</v>
      </c>
      <c r="E149" t="s">
        <v>53</v>
      </c>
      <c r="F149" s="5">
        <v>46062</v>
      </c>
      <c r="G149">
        <v>3</v>
      </c>
      <c r="H149">
        <v>3</v>
      </c>
      <c r="U149">
        <v>8</v>
      </c>
      <c r="V149">
        <v>1</v>
      </c>
      <c r="W149">
        <v>1</v>
      </c>
      <c r="X149">
        <v>1</v>
      </c>
      <c r="Y149">
        <v>12</v>
      </c>
      <c r="Z149">
        <f t="shared" si="8"/>
        <v>11</v>
      </c>
      <c r="AA149" t="s">
        <v>895</v>
      </c>
    </row>
    <row r="150" spans="2:27" x14ac:dyDescent="0.25">
      <c r="B150" t="s">
        <v>554</v>
      </c>
      <c r="C150" t="s">
        <v>51</v>
      </c>
      <c r="D150" t="s">
        <v>555</v>
      </c>
      <c r="E150" t="s">
        <v>53</v>
      </c>
      <c r="F150" s="5" t="s">
        <v>524</v>
      </c>
      <c r="G150">
        <v>4</v>
      </c>
      <c r="H150">
        <v>1</v>
      </c>
      <c r="U150">
        <v>11</v>
      </c>
      <c r="V150">
        <v>4</v>
      </c>
      <c r="X150">
        <v>1</v>
      </c>
      <c r="Y150">
        <v>12</v>
      </c>
      <c r="Z150">
        <f t="shared" si="8"/>
        <v>16</v>
      </c>
      <c r="AA150" t="s">
        <v>918</v>
      </c>
    </row>
    <row r="151" spans="2:27" x14ac:dyDescent="0.25">
      <c r="B151" t="s">
        <v>556</v>
      </c>
      <c r="C151" t="s">
        <v>84</v>
      </c>
      <c r="D151" t="s">
        <v>557</v>
      </c>
      <c r="E151" t="s">
        <v>53</v>
      </c>
      <c r="F151" s="5">
        <v>46062</v>
      </c>
      <c r="G151">
        <v>3</v>
      </c>
      <c r="H151">
        <v>3</v>
      </c>
      <c r="U151">
        <v>8</v>
      </c>
      <c r="V151">
        <v>1</v>
      </c>
      <c r="W151">
        <v>1</v>
      </c>
      <c r="X151">
        <v>1</v>
      </c>
      <c r="Y151">
        <v>12</v>
      </c>
      <c r="Z151">
        <f t="shared" si="8"/>
        <v>11</v>
      </c>
      <c r="AA151" t="s">
        <v>895</v>
      </c>
    </row>
    <row r="152" spans="2:27" x14ac:dyDescent="0.25">
      <c r="B152" t="s">
        <v>558</v>
      </c>
      <c r="C152" t="s">
        <v>84</v>
      </c>
      <c r="D152" t="s">
        <v>559</v>
      </c>
      <c r="F152" s="5">
        <v>46031</v>
      </c>
      <c r="U152">
        <v>66</v>
      </c>
      <c r="V152">
        <v>32</v>
      </c>
      <c r="W152">
        <v>8</v>
      </c>
      <c r="Z152">
        <f t="shared" si="8"/>
        <v>106</v>
      </c>
    </row>
    <row r="153" spans="2:27" x14ac:dyDescent="0.25">
      <c r="B153" t="s">
        <v>560</v>
      </c>
      <c r="C153" t="s">
        <v>75</v>
      </c>
      <c r="D153" t="s">
        <v>561</v>
      </c>
      <c r="E153" t="s">
        <v>76</v>
      </c>
      <c r="F153" s="5">
        <v>46151</v>
      </c>
      <c r="G153">
        <v>3</v>
      </c>
      <c r="H153">
        <v>3</v>
      </c>
      <c r="U153">
        <v>6</v>
      </c>
      <c r="V153">
        <v>2</v>
      </c>
      <c r="X153">
        <v>1</v>
      </c>
      <c r="Y153">
        <v>12</v>
      </c>
      <c r="Z153">
        <f t="shared" si="8"/>
        <v>9</v>
      </c>
      <c r="AA153" t="s">
        <v>914</v>
      </c>
    </row>
    <row r="154" spans="2:27" x14ac:dyDescent="0.25">
      <c r="B154" t="s">
        <v>562</v>
      </c>
      <c r="C154" t="s">
        <v>75</v>
      </c>
      <c r="D154" t="s">
        <v>563</v>
      </c>
      <c r="E154" t="s">
        <v>76</v>
      </c>
      <c r="F154" s="5" t="s">
        <v>54</v>
      </c>
      <c r="G154">
        <v>2</v>
      </c>
      <c r="H154">
        <v>12</v>
      </c>
      <c r="U154">
        <v>104</v>
      </c>
      <c r="V154">
        <v>20</v>
      </c>
      <c r="X154">
        <v>3</v>
      </c>
      <c r="Y154">
        <v>12</v>
      </c>
      <c r="Z154">
        <f t="shared" si="8"/>
        <v>127</v>
      </c>
      <c r="AA154" t="s">
        <v>909</v>
      </c>
    </row>
    <row r="155" spans="2:27" x14ac:dyDescent="0.25">
      <c r="B155" t="s">
        <v>564</v>
      </c>
      <c r="C155" t="s">
        <v>84</v>
      </c>
      <c r="D155" t="s">
        <v>565</v>
      </c>
      <c r="E155" t="s">
        <v>53</v>
      </c>
      <c r="F155" s="5">
        <v>46365</v>
      </c>
      <c r="G155">
        <v>3</v>
      </c>
      <c r="H155">
        <v>3</v>
      </c>
      <c r="U155">
        <v>4</v>
      </c>
      <c r="W155">
        <v>4</v>
      </c>
      <c r="Y155">
        <v>12</v>
      </c>
      <c r="Z155">
        <f t="shared" si="8"/>
        <v>8</v>
      </c>
      <c r="AA155" t="s">
        <v>899</v>
      </c>
    </row>
    <row r="156" spans="2:27" x14ac:dyDescent="0.25">
      <c r="B156" t="s">
        <v>566</v>
      </c>
      <c r="C156" t="s">
        <v>84</v>
      </c>
      <c r="D156" t="s">
        <v>567</v>
      </c>
      <c r="E156" t="s">
        <v>53</v>
      </c>
      <c r="F156" s="5" t="s">
        <v>568</v>
      </c>
      <c r="G156">
        <v>3</v>
      </c>
      <c r="H156">
        <v>3</v>
      </c>
      <c r="U156">
        <v>8</v>
      </c>
      <c r="V156">
        <v>1</v>
      </c>
      <c r="W156">
        <v>1</v>
      </c>
      <c r="X156">
        <v>1</v>
      </c>
      <c r="Y156">
        <v>12</v>
      </c>
      <c r="Z156">
        <f t="shared" si="8"/>
        <v>11</v>
      </c>
      <c r="AA156" t="s">
        <v>895</v>
      </c>
    </row>
    <row r="157" spans="2:27" x14ac:dyDescent="0.25">
      <c r="B157" t="s">
        <v>569</v>
      </c>
      <c r="C157" t="s">
        <v>84</v>
      </c>
      <c r="D157" t="s">
        <v>570</v>
      </c>
      <c r="E157" t="s">
        <v>53</v>
      </c>
      <c r="F157" s="5">
        <v>46335</v>
      </c>
      <c r="G157">
        <v>3</v>
      </c>
      <c r="H157">
        <v>3</v>
      </c>
      <c r="U157">
        <v>5</v>
      </c>
      <c r="V157">
        <v>1</v>
      </c>
      <c r="W157">
        <v>1</v>
      </c>
      <c r="X157">
        <v>1</v>
      </c>
      <c r="Y157">
        <v>12</v>
      </c>
      <c r="Z157">
        <f t="shared" si="8"/>
        <v>8</v>
      </c>
      <c r="AA157" t="s">
        <v>895</v>
      </c>
    </row>
    <row r="158" spans="2:27" x14ac:dyDescent="0.25">
      <c r="B158" t="s">
        <v>571</v>
      </c>
      <c r="C158" t="s">
        <v>84</v>
      </c>
      <c r="D158" t="s">
        <v>572</v>
      </c>
      <c r="E158" t="s">
        <v>53</v>
      </c>
      <c r="F158" s="5">
        <v>46032</v>
      </c>
      <c r="G158">
        <v>3</v>
      </c>
      <c r="H158">
        <v>3</v>
      </c>
      <c r="U158">
        <v>8</v>
      </c>
      <c r="V158">
        <v>1</v>
      </c>
      <c r="W158">
        <v>1</v>
      </c>
      <c r="X158">
        <v>1</v>
      </c>
      <c r="Y158">
        <v>12</v>
      </c>
      <c r="Z158">
        <f t="shared" si="8"/>
        <v>11</v>
      </c>
      <c r="AA158" t="s">
        <v>895</v>
      </c>
    </row>
    <row r="159" spans="2:27" x14ac:dyDescent="0.25">
      <c r="B159" t="s">
        <v>573</v>
      </c>
      <c r="C159" t="s">
        <v>84</v>
      </c>
      <c r="D159" t="s">
        <v>574</v>
      </c>
      <c r="E159" t="s">
        <v>53</v>
      </c>
      <c r="F159" s="5">
        <v>46335</v>
      </c>
      <c r="G159">
        <v>3</v>
      </c>
      <c r="H159">
        <v>3</v>
      </c>
      <c r="U159">
        <v>4</v>
      </c>
      <c r="W159">
        <v>4</v>
      </c>
      <c r="Y159">
        <v>12</v>
      </c>
      <c r="Z159">
        <f t="shared" si="8"/>
        <v>8</v>
      </c>
      <c r="AA159" t="s">
        <v>897</v>
      </c>
    </row>
    <row r="160" spans="2:27" x14ac:dyDescent="0.25">
      <c r="B160" t="s">
        <v>575</v>
      </c>
      <c r="C160" t="s">
        <v>84</v>
      </c>
      <c r="D160" t="s">
        <v>576</v>
      </c>
      <c r="E160" t="s">
        <v>53</v>
      </c>
      <c r="F160" s="5" t="s">
        <v>577</v>
      </c>
      <c r="G160">
        <v>2</v>
      </c>
      <c r="H160">
        <v>2</v>
      </c>
      <c r="U160">
        <v>4</v>
      </c>
      <c r="W160">
        <v>4</v>
      </c>
      <c r="Y160">
        <v>12</v>
      </c>
      <c r="Z160">
        <f t="shared" si="8"/>
        <v>8</v>
      </c>
      <c r="AA160" t="s">
        <v>899</v>
      </c>
    </row>
    <row r="161" spans="2:27" x14ac:dyDescent="0.25">
      <c r="B161" t="s">
        <v>578</v>
      </c>
      <c r="C161" t="s">
        <v>84</v>
      </c>
      <c r="D161" t="s">
        <v>579</v>
      </c>
      <c r="E161" t="s">
        <v>53</v>
      </c>
      <c r="F161" s="5" t="s">
        <v>580</v>
      </c>
      <c r="G161">
        <v>3</v>
      </c>
      <c r="H161">
        <v>3</v>
      </c>
      <c r="U161">
        <v>9</v>
      </c>
      <c r="V161">
        <v>1</v>
      </c>
      <c r="W161">
        <v>1</v>
      </c>
      <c r="X161">
        <v>1</v>
      </c>
      <c r="Y161">
        <v>12</v>
      </c>
      <c r="Z161">
        <f t="shared" si="8"/>
        <v>12</v>
      </c>
      <c r="AA161" t="s">
        <v>895</v>
      </c>
    </row>
    <row r="162" spans="2:27" x14ac:dyDescent="0.25">
      <c r="B162" t="s">
        <v>581</v>
      </c>
      <c r="C162" t="s">
        <v>84</v>
      </c>
      <c r="D162" t="s">
        <v>582</v>
      </c>
      <c r="E162" t="s">
        <v>53</v>
      </c>
      <c r="F162" s="5">
        <v>46091</v>
      </c>
      <c r="G162">
        <v>2</v>
      </c>
      <c r="H162">
        <v>2</v>
      </c>
      <c r="U162">
        <v>4</v>
      </c>
      <c r="W162">
        <v>4</v>
      </c>
      <c r="Y162">
        <v>12</v>
      </c>
      <c r="Z162">
        <f t="shared" si="8"/>
        <v>8</v>
      </c>
      <c r="AA162" t="s">
        <v>901</v>
      </c>
    </row>
    <row r="163" spans="2:27" x14ac:dyDescent="0.25">
      <c r="B163" t="s">
        <v>583</v>
      </c>
      <c r="C163" t="s">
        <v>75</v>
      </c>
      <c r="D163" t="s">
        <v>584</v>
      </c>
      <c r="E163" t="s">
        <v>76</v>
      </c>
      <c r="F163" s="5">
        <v>46121</v>
      </c>
      <c r="G163">
        <v>4</v>
      </c>
      <c r="H163">
        <v>12</v>
      </c>
      <c r="U163">
        <v>31</v>
      </c>
      <c r="V163">
        <v>12</v>
      </c>
      <c r="X163">
        <v>1</v>
      </c>
      <c r="Y163">
        <v>12</v>
      </c>
      <c r="Z163">
        <f t="shared" si="8"/>
        <v>44</v>
      </c>
      <c r="AA163" t="s">
        <v>909</v>
      </c>
    </row>
    <row r="164" spans="2:27" x14ac:dyDescent="0.25">
      <c r="B164" t="s">
        <v>585</v>
      </c>
      <c r="C164" t="s">
        <v>51</v>
      </c>
      <c r="D164" t="s">
        <v>586</v>
      </c>
      <c r="E164" t="s">
        <v>100</v>
      </c>
      <c r="F164" s="5" t="s">
        <v>587</v>
      </c>
      <c r="G164">
        <v>2</v>
      </c>
      <c r="H164">
        <v>6</v>
      </c>
      <c r="U164">
        <v>20</v>
      </c>
      <c r="V164">
        <v>15</v>
      </c>
      <c r="W164">
        <v>5</v>
      </c>
      <c r="Y164">
        <v>12</v>
      </c>
      <c r="Z164">
        <f t="shared" si="8"/>
        <v>40</v>
      </c>
      <c r="AA164" t="s">
        <v>100</v>
      </c>
    </row>
    <row r="165" spans="2:27" x14ac:dyDescent="0.25">
      <c r="B165" t="s">
        <v>588</v>
      </c>
      <c r="C165" t="s">
        <v>84</v>
      </c>
      <c r="D165" t="s">
        <v>589</v>
      </c>
      <c r="E165" t="s">
        <v>53</v>
      </c>
      <c r="F165" s="5" t="s">
        <v>590</v>
      </c>
      <c r="G165">
        <v>3</v>
      </c>
      <c r="H165">
        <v>3</v>
      </c>
      <c r="U165">
        <v>5</v>
      </c>
      <c r="V165">
        <v>1</v>
      </c>
      <c r="W165">
        <v>1</v>
      </c>
      <c r="X165">
        <v>1</v>
      </c>
      <c r="Y165">
        <v>12</v>
      </c>
      <c r="Z165">
        <f t="shared" si="8"/>
        <v>8</v>
      </c>
      <c r="AA165" t="s">
        <v>895</v>
      </c>
    </row>
    <row r="166" spans="2:27" x14ac:dyDescent="0.25">
      <c r="B166" t="s">
        <v>591</v>
      </c>
      <c r="C166" t="s">
        <v>84</v>
      </c>
      <c r="D166" t="s">
        <v>592</v>
      </c>
      <c r="E166" t="s">
        <v>53</v>
      </c>
      <c r="F166" s="5" t="s">
        <v>593</v>
      </c>
      <c r="G166">
        <v>3</v>
      </c>
      <c r="H166">
        <v>3</v>
      </c>
      <c r="U166">
        <v>4</v>
      </c>
      <c r="W166">
        <v>4</v>
      </c>
      <c r="Y166">
        <v>12</v>
      </c>
      <c r="Z166">
        <f t="shared" si="8"/>
        <v>8</v>
      </c>
      <c r="AA166" t="s">
        <v>887</v>
      </c>
    </row>
    <row r="167" spans="2:27" x14ac:dyDescent="0.25">
      <c r="B167" t="s">
        <v>594</v>
      </c>
      <c r="C167" t="s">
        <v>51</v>
      </c>
      <c r="D167" t="s">
        <v>595</v>
      </c>
      <c r="E167" t="s">
        <v>53</v>
      </c>
      <c r="F167" s="5" t="s">
        <v>596</v>
      </c>
      <c r="G167">
        <v>2</v>
      </c>
      <c r="H167">
        <v>4</v>
      </c>
      <c r="U167">
        <v>32</v>
      </c>
      <c r="V167">
        <v>9</v>
      </c>
      <c r="X167">
        <v>1</v>
      </c>
      <c r="Y167">
        <v>12</v>
      </c>
      <c r="Z167">
        <f t="shared" si="8"/>
        <v>42</v>
      </c>
      <c r="AA167" t="s">
        <v>919</v>
      </c>
    </row>
    <row r="168" spans="2:27" x14ac:dyDescent="0.25">
      <c r="B168" t="s">
        <v>597</v>
      </c>
      <c r="C168" t="s">
        <v>75</v>
      </c>
      <c r="D168" t="s">
        <v>598</v>
      </c>
      <c r="E168" t="s">
        <v>76</v>
      </c>
      <c r="F168" s="5" t="s">
        <v>599</v>
      </c>
      <c r="G168">
        <v>2</v>
      </c>
      <c r="H168">
        <v>2</v>
      </c>
      <c r="U168">
        <v>14</v>
      </c>
      <c r="V168">
        <v>3</v>
      </c>
      <c r="W168">
        <v>2</v>
      </c>
      <c r="X168">
        <v>1</v>
      </c>
      <c r="Y168">
        <v>12</v>
      </c>
      <c r="Z168">
        <f t="shared" si="8"/>
        <v>20</v>
      </c>
      <c r="AA168" t="s">
        <v>914</v>
      </c>
    </row>
    <row r="169" spans="2:27" x14ac:dyDescent="0.25">
      <c r="B169" t="s">
        <v>600</v>
      </c>
      <c r="C169" t="s">
        <v>84</v>
      </c>
      <c r="D169" t="s">
        <v>601</v>
      </c>
      <c r="E169" t="s">
        <v>53</v>
      </c>
      <c r="F169" s="5">
        <v>46063</v>
      </c>
      <c r="G169">
        <v>3</v>
      </c>
      <c r="H169">
        <v>3</v>
      </c>
      <c r="U169">
        <v>9</v>
      </c>
      <c r="W169">
        <v>9</v>
      </c>
      <c r="Y169">
        <v>12</v>
      </c>
      <c r="Z169">
        <f t="shared" si="8"/>
        <v>18</v>
      </c>
      <c r="AA169" t="s">
        <v>900</v>
      </c>
    </row>
    <row r="170" spans="2:27" x14ac:dyDescent="0.25">
      <c r="B170" t="s">
        <v>602</v>
      </c>
      <c r="C170" t="s">
        <v>84</v>
      </c>
      <c r="D170" t="s">
        <v>603</v>
      </c>
      <c r="E170" t="s">
        <v>53</v>
      </c>
      <c r="F170" s="5" t="s">
        <v>599</v>
      </c>
      <c r="G170">
        <v>3</v>
      </c>
      <c r="H170">
        <v>3</v>
      </c>
      <c r="U170">
        <v>8</v>
      </c>
      <c r="V170">
        <v>1</v>
      </c>
      <c r="W170">
        <v>1</v>
      </c>
      <c r="X170">
        <v>1</v>
      </c>
      <c r="Y170">
        <v>12</v>
      </c>
      <c r="Z170">
        <f t="shared" si="8"/>
        <v>11</v>
      </c>
      <c r="AA170" t="s">
        <v>895</v>
      </c>
    </row>
    <row r="171" spans="2:27" x14ac:dyDescent="0.25">
      <c r="B171" t="s">
        <v>604</v>
      </c>
      <c r="C171" t="s">
        <v>51</v>
      </c>
      <c r="D171" t="s">
        <v>605</v>
      </c>
      <c r="E171" t="s">
        <v>53</v>
      </c>
      <c r="F171" s="5" t="s">
        <v>606</v>
      </c>
      <c r="G171">
        <v>3</v>
      </c>
      <c r="H171">
        <v>9</v>
      </c>
      <c r="U171">
        <v>158</v>
      </c>
      <c r="V171">
        <v>24</v>
      </c>
      <c r="W171">
        <v>134</v>
      </c>
      <c r="X171">
        <v>2</v>
      </c>
      <c r="Y171">
        <v>12</v>
      </c>
      <c r="Z171">
        <f t="shared" si="8"/>
        <v>318</v>
      </c>
      <c r="AA171" t="s">
        <v>903</v>
      </c>
    </row>
    <row r="172" spans="2:27" x14ac:dyDescent="0.25">
      <c r="B172" t="s">
        <v>607</v>
      </c>
      <c r="C172" t="s">
        <v>84</v>
      </c>
      <c r="D172" t="s">
        <v>608</v>
      </c>
      <c r="E172" t="s">
        <v>53</v>
      </c>
      <c r="F172" s="5" t="s">
        <v>599</v>
      </c>
      <c r="G172">
        <v>3</v>
      </c>
      <c r="H172">
        <v>3</v>
      </c>
      <c r="U172">
        <v>5</v>
      </c>
      <c r="V172">
        <v>1</v>
      </c>
      <c r="W172">
        <v>1</v>
      </c>
      <c r="X172">
        <v>1</v>
      </c>
      <c r="Y172">
        <v>12</v>
      </c>
      <c r="Z172">
        <f t="shared" si="8"/>
        <v>8</v>
      </c>
      <c r="AA172" t="s">
        <v>895</v>
      </c>
    </row>
    <row r="173" spans="2:27" x14ac:dyDescent="0.25">
      <c r="B173" t="s">
        <v>609</v>
      </c>
      <c r="C173" t="s">
        <v>51</v>
      </c>
      <c r="D173" t="s">
        <v>610</v>
      </c>
      <c r="E173" t="s">
        <v>53</v>
      </c>
      <c r="F173" s="5">
        <v>46032</v>
      </c>
      <c r="G173">
        <v>6</v>
      </c>
      <c r="H173">
        <v>30</v>
      </c>
      <c r="U173">
        <v>81</v>
      </c>
      <c r="V173">
        <v>17</v>
      </c>
      <c r="W173">
        <v>3</v>
      </c>
      <c r="X173">
        <v>1</v>
      </c>
      <c r="Y173">
        <v>12</v>
      </c>
      <c r="Z173">
        <f t="shared" si="8"/>
        <v>102</v>
      </c>
      <c r="AA173" t="s">
        <v>920</v>
      </c>
    </row>
    <row r="174" spans="2:27" x14ac:dyDescent="0.25">
      <c r="B174" t="s">
        <v>611</v>
      </c>
      <c r="C174" t="s">
        <v>84</v>
      </c>
      <c r="D174" t="s">
        <v>612</v>
      </c>
      <c r="E174" t="s">
        <v>53</v>
      </c>
      <c r="F174" s="5" t="s">
        <v>613</v>
      </c>
      <c r="G174">
        <v>3</v>
      </c>
      <c r="H174">
        <v>3</v>
      </c>
      <c r="U174">
        <v>4</v>
      </c>
      <c r="W174">
        <v>4</v>
      </c>
      <c r="Y174">
        <v>12</v>
      </c>
      <c r="Z174">
        <f t="shared" si="8"/>
        <v>8</v>
      </c>
      <c r="AA174" t="s">
        <v>899</v>
      </c>
    </row>
    <row r="175" spans="2:27" x14ac:dyDescent="0.25">
      <c r="B175" t="s">
        <v>614</v>
      </c>
      <c r="C175" t="s">
        <v>84</v>
      </c>
      <c r="D175" t="s">
        <v>615</v>
      </c>
      <c r="E175" t="s">
        <v>53</v>
      </c>
      <c r="F175" s="5">
        <v>46152</v>
      </c>
      <c r="G175">
        <v>3</v>
      </c>
      <c r="H175">
        <v>3</v>
      </c>
      <c r="U175">
        <v>5</v>
      </c>
      <c r="V175">
        <v>1</v>
      </c>
      <c r="W175">
        <v>1</v>
      </c>
      <c r="X175">
        <v>1</v>
      </c>
      <c r="Y175">
        <v>12</v>
      </c>
      <c r="Z175">
        <f t="shared" si="8"/>
        <v>8</v>
      </c>
      <c r="AA175" t="s">
        <v>895</v>
      </c>
    </row>
    <row r="176" spans="2:27" x14ac:dyDescent="0.25">
      <c r="B176" t="s">
        <v>616</v>
      </c>
      <c r="C176" t="s">
        <v>84</v>
      </c>
      <c r="D176" t="s">
        <v>617</v>
      </c>
      <c r="E176" t="s">
        <v>53</v>
      </c>
      <c r="F176" s="5">
        <v>46337</v>
      </c>
      <c r="G176">
        <v>3</v>
      </c>
      <c r="H176">
        <v>3</v>
      </c>
      <c r="U176">
        <v>7</v>
      </c>
      <c r="W176">
        <v>7</v>
      </c>
      <c r="Y176">
        <v>12</v>
      </c>
      <c r="Z176">
        <f t="shared" si="8"/>
        <v>14</v>
      </c>
      <c r="AA176" t="s">
        <v>887</v>
      </c>
    </row>
    <row r="177" spans="2:27" x14ac:dyDescent="0.25">
      <c r="B177" t="s">
        <v>618</v>
      </c>
      <c r="C177" t="s">
        <v>84</v>
      </c>
      <c r="D177" t="s">
        <v>619</v>
      </c>
      <c r="E177" t="s">
        <v>53</v>
      </c>
      <c r="F177" s="5" t="s">
        <v>620</v>
      </c>
      <c r="G177">
        <v>3</v>
      </c>
      <c r="H177">
        <v>3</v>
      </c>
      <c r="U177">
        <v>8</v>
      </c>
      <c r="V177">
        <v>1</v>
      </c>
      <c r="W177">
        <v>1</v>
      </c>
      <c r="X177">
        <v>1</v>
      </c>
      <c r="Y177">
        <v>12</v>
      </c>
      <c r="Z177">
        <f t="shared" si="8"/>
        <v>11</v>
      </c>
      <c r="AA177" t="s">
        <v>895</v>
      </c>
    </row>
    <row r="178" spans="2:27" x14ac:dyDescent="0.25">
      <c r="B178" t="s">
        <v>621</v>
      </c>
      <c r="C178" t="s">
        <v>84</v>
      </c>
      <c r="D178" t="s">
        <v>622</v>
      </c>
      <c r="E178" t="s">
        <v>53</v>
      </c>
      <c r="F178" s="5">
        <v>46063</v>
      </c>
      <c r="G178">
        <v>3</v>
      </c>
      <c r="H178">
        <v>3</v>
      </c>
      <c r="U178">
        <v>6</v>
      </c>
      <c r="W178">
        <v>6</v>
      </c>
      <c r="Y178">
        <v>12</v>
      </c>
      <c r="Z178">
        <f t="shared" si="8"/>
        <v>12</v>
      </c>
      <c r="AA178" t="s">
        <v>887</v>
      </c>
    </row>
    <row r="179" spans="2:27" x14ac:dyDescent="0.25">
      <c r="B179" t="s">
        <v>623</v>
      </c>
      <c r="C179" t="s">
        <v>84</v>
      </c>
      <c r="D179" t="s">
        <v>624</v>
      </c>
      <c r="E179" t="s">
        <v>53</v>
      </c>
      <c r="F179" s="5">
        <v>46183</v>
      </c>
      <c r="G179">
        <v>3</v>
      </c>
      <c r="H179">
        <v>3</v>
      </c>
      <c r="U179">
        <v>7</v>
      </c>
      <c r="V179">
        <v>0</v>
      </c>
      <c r="W179">
        <v>7</v>
      </c>
      <c r="Y179">
        <v>12</v>
      </c>
      <c r="Z179">
        <f t="shared" si="8"/>
        <v>14</v>
      </c>
      <c r="AA179" t="s">
        <v>921</v>
      </c>
    </row>
    <row r="180" spans="2:27" x14ac:dyDescent="0.25">
      <c r="B180" t="s">
        <v>625</v>
      </c>
      <c r="C180" t="s">
        <v>84</v>
      </c>
      <c r="D180" t="s">
        <v>626</v>
      </c>
      <c r="E180" t="s">
        <v>53</v>
      </c>
      <c r="F180" s="5">
        <v>46032</v>
      </c>
      <c r="G180">
        <v>3</v>
      </c>
      <c r="H180">
        <v>3</v>
      </c>
      <c r="U180">
        <v>4</v>
      </c>
      <c r="W180">
        <v>4</v>
      </c>
      <c r="Z180">
        <f t="shared" si="8"/>
        <v>8</v>
      </c>
      <c r="AA180" t="s">
        <v>897</v>
      </c>
    </row>
    <row r="181" spans="2:27" x14ac:dyDescent="0.25">
      <c r="B181" t="s">
        <v>627</v>
      </c>
      <c r="C181" t="s">
        <v>84</v>
      </c>
      <c r="D181" t="s">
        <v>628</v>
      </c>
      <c r="E181" t="s">
        <v>53</v>
      </c>
      <c r="F181" s="5" t="s">
        <v>629</v>
      </c>
      <c r="G181">
        <v>3</v>
      </c>
      <c r="H181">
        <v>3</v>
      </c>
      <c r="U181">
        <v>9</v>
      </c>
      <c r="V181">
        <v>1</v>
      </c>
      <c r="W181">
        <v>1</v>
      </c>
      <c r="X181">
        <v>1</v>
      </c>
      <c r="Y181">
        <v>12</v>
      </c>
      <c r="Z181">
        <f t="shared" si="8"/>
        <v>12</v>
      </c>
      <c r="AA181" t="s">
        <v>895</v>
      </c>
    </row>
    <row r="182" spans="2:27" x14ac:dyDescent="0.25">
      <c r="B182" t="s">
        <v>630</v>
      </c>
      <c r="C182" t="s">
        <v>84</v>
      </c>
      <c r="D182" t="s">
        <v>631</v>
      </c>
      <c r="E182" t="s">
        <v>53</v>
      </c>
      <c r="F182" s="5">
        <v>46213</v>
      </c>
      <c r="G182">
        <v>3</v>
      </c>
      <c r="H182">
        <v>3</v>
      </c>
      <c r="U182">
        <v>6</v>
      </c>
      <c r="W182">
        <v>6</v>
      </c>
      <c r="Y182">
        <v>12</v>
      </c>
      <c r="Z182">
        <f t="shared" si="8"/>
        <v>12</v>
      </c>
      <c r="AA182" t="s">
        <v>895</v>
      </c>
    </row>
    <row r="183" spans="2:27" x14ac:dyDescent="0.25">
      <c r="B183" t="s">
        <v>632</v>
      </c>
      <c r="C183" t="s">
        <v>51</v>
      </c>
      <c r="D183" t="s">
        <v>633</v>
      </c>
      <c r="E183" t="s">
        <v>53</v>
      </c>
      <c r="F183" s="5" t="s">
        <v>634</v>
      </c>
      <c r="G183">
        <v>4</v>
      </c>
      <c r="H183">
        <v>16</v>
      </c>
      <c r="U183">
        <v>21</v>
      </c>
      <c r="V183">
        <v>23</v>
      </c>
      <c r="W183">
        <v>16</v>
      </c>
      <c r="X183">
        <v>7</v>
      </c>
      <c r="Y183">
        <v>12</v>
      </c>
      <c r="Z183">
        <f t="shared" si="8"/>
        <v>67</v>
      </c>
      <c r="AA183" t="s">
        <v>898</v>
      </c>
    </row>
    <row r="184" spans="2:27" x14ac:dyDescent="0.25">
      <c r="B184" t="s">
        <v>635</v>
      </c>
      <c r="C184" t="s">
        <v>84</v>
      </c>
      <c r="D184" t="s">
        <v>636</v>
      </c>
      <c r="E184" t="s">
        <v>53</v>
      </c>
      <c r="F184" s="5" t="s">
        <v>637</v>
      </c>
      <c r="G184">
        <v>3</v>
      </c>
      <c r="H184">
        <v>3</v>
      </c>
      <c r="U184">
        <v>8</v>
      </c>
      <c r="V184">
        <v>1</v>
      </c>
      <c r="W184">
        <v>1</v>
      </c>
      <c r="X184">
        <v>1</v>
      </c>
      <c r="Y184">
        <v>12</v>
      </c>
      <c r="Z184">
        <f t="shared" si="8"/>
        <v>11</v>
      </c>
      <c r="AA184" t="s">
        <v>895</v>
      </c>
    </row>
    <row r="185" spans="2:27" x14ac:dyDescent="0.25">
      <c r="B185" t="s">
        <v>638</v>
      </c>
      <c r="C185" t="s">
        <v>51</v>
      </c>
      <c r="D185" t="s">
        <v>639</v>
      </c>
      <c r="E185" t="s">
        <v>53</v>
      </c>
      <c r="F185" s="5" t="s">
        <v>640</v>
      </c>
      <c r="G185">
        <v>4</v>
      </c>
      <c r="H185">
        <v>38</v>
      </c>
      <c r="U185">
        <v>124</v>
      </c>
      <c r="Y185">
        <v>12</v>
      </c>
      <c r="Z185">
        <f t="shared" si="8"/>
        <v>124</v>
      </c>
      <c r="AA185" t="s">
        <v>915</v>
      </c>
    </row>
    <row r="186" spans="2:27" x14ac:dyDescent="0.25">
      <c r="B186" t="s">
        <v>641</v>
      </c>
      <c r="C186" t="s">
        <v>51</v>
      </c>
      <c r="D186" t="s">
        <v>642</v>
      </c>
      <c r="E186" t="s">
        <v>53</v>
      </c>
      <c r="F186" s="5">
        <v>46033</v>
      </c>
      <c r="G186">
        <v>2</v>
      </c>
      <c r="H186">
        <v>7</v>
      </c>
      <c r="U186">
        <v>132</v>
      </c>
      <c r="V186">
        <v>23</v>
      </c>
      <c r="W186">
        <v>3</v>
      </c>
      <c r="X186">
        <v>3</v>
      </c>
      <c r="Y186">
        <v>12</v>
      </c>
      <c r="Z186">
        <f t="shared" si="8"/>
        <v>161</v>
      </c>
      <c r="AA186" t="s">
        <v>922</v>
      </c>
    </row>
    <row r="187" spans="2:27" x14ac:dyDescent="0.25">
      <c r="B187" t="s">
        <v>643</v>
      </c>
      <c r="C187" t="s">
        <v>51</v>
      </c>
      <c r="D187" t="s">
        <v>644</v>
      </c>
      <c r="E187" t="s">
        <v>53</v>
      </c>
      <c r="F187" s="5" t="s">
        <v>645</v>
      </c>
      <c r="G187">
        <v>4</v>
      </c>
      <c r="H187">
        <v>4</v>
      </c>
      <c r="U187">
        <v>6</v>
      </c>
      <c r="V187">
        <v>6</v>
      </c>
      <c r="W187">
        <v>0</v>
      </c>
      <c r="X187">
        <v>2</v>
      </c>
      <c r="Y187">
        <v>12</v>
      </c>
      <c r="Z187">
        <f t="shared" si="8"/>
        <v>14</v>
      </c>
      <c r="AA187" t="s">
        <v>898</v>
      </c>
    </row>
    <row r="188" spans="2:27" x14ac:dyDescent="0.25">
      <c r="B188" t="s">
        <v>646</v>
      </c>
      <c r="C188" t="s">
        <v>51</v>
      </c>
      <c r="D188" t="s">
        <v>647</v>
      </c>
      <c r="E188" t="s">
        <v>53</v>
      </c>
      <c r="F188" s="5" t="s">
        <v>648</v>
      </c>
      <c r="G188">
        <v>3</v>
      </c>
      <c r="H188">
        <v>1</v>
      </c>
      <c r="U188">
        <v>16</v>
      </c>
      <c r="V188">
        <v>3</v>
      </c>
      <c r="X188">
        <v>4</v>
      </c>
      <c r="Y188">
        <v>12</v>
      </c>
      <c r="Z188">
        <f t="shared" si="8"/>
        <v>23</v>
      </c>
      <c r="AA188" t="s">
        <v>923</v>
      </c>
    </row>
    <row r="189" spans="2:27" x14ac:dyDescent="0.25">
      <c r="B189" t="s">
        <v>649</v>
      </c>
      <c r="C189" t="s">
        <v>84</v>
      </c>
      <c r="D189" t="s">
        <v>650</v>
      </c>
      <c r="E189" t="s">
        <v>53</v>
      </c>
      <c r="F189" s="5" t="s">
        <v>651</v>
      </c>
      <c r="G189">
        <v>3</v>
      </c>
      <c r="H189">
        <v>3</v>
      </c>
      <c r="U189">
        <v>5</v>
      </c>
      <c r="W189">
        <v>5</v>
      </c>
      <c r="Y189">
        <v>12</v>
      </c>
      <c r="Z189">
        <f t="shared" si="8"/>
        <v>10</v>
      </c>
      <c r="AA189" t="s">
        <v>887</v>
      </c>
    </row>
    <row r="190" spans="2:27" x14ac:dyDescent="0.25">
      <c r="B190" t="s">
        <v>652</v>
      </c>
      <c r="C190" t="s">
        <v>84</v>
      </c>
      <c r="D190" t="s">
        <v>653</v>
      </c>
      <c r="E190" t="s">
        <v>53</v>
      </c>
      <c r="F190" s="5">
        <v>46033</v>
      </c>
      <c r="G190">
        <v>3</v>
      </c>
      <c r="H190">
        <v>3</v>
      </c>
      <c r="U190">
        <v>2</v>
      </c>
      <c r="V190">
        <v>1</v>
      </c>
      <c r="Y190">
        <v>12</v>
      </c>
      <c r="Z190">
        <f t="shared" si="8"/>
        <v>3</v>
      </c>
      <c r="AA190" t="s">
        <v>880</v>
      </c>
    </row>
    <row r="191" spans="2:27" x14ac:dyDescent="0.25">
      <c r="B191" t="s">
        <v>654</v>
      </c>
      <c r="C191" t="s">
        <v>84</v>
      </c>
      <c r="D191" t="s">
        <v>655</v>
      </c>
      <c r="E191" t="s">
        <v>53</v>
      </c>
      <c r="F191" s="5">
        <v>46033</v>
      </c>
      <c r="G191">
        <v>3</v>
      </c>
      <c r="H191">
        <v>3</v>
      </c>
      <c r="U191">
        <v>4</v>
      </c>
      <c r="V191">
        <v>1</v>
      </c>
      <c r="W191">
        <v>1</v>
      </c>
      <c r="Y191">
        <v>12</v>
      </c>
      <c r="Z191">
        <f t="shared" si="8"/>
        <v>6</v>
      </c>
      <c r="AA191" t="s">
        <v>880</v>
      </c>
    </row>
    <row r="192" spans="2:27" x14ac:dyDescent="0.25">
      <c r="B192" t="s">
        <v>153</v>
      </c>
      <c r="C192" t="s">
        <v>51</v>
      </c>
      <c r="D192" t="s">
        <v>154</v>
      </c>
      <c r="E192" t="s">
        <v>53</v>
      </c>
      <c r="F192" s="5" t="s">
        <v>54</v>
      </c>
      <c r="G192">
        <v>3</v>
      </c>
      <c r="H192">
        <v>90</v>
      </c>
      <c r="U192">
        <v>461</v>
      </c>
      <c r="V192">
        <v>83</v>
      </c>
      <c r="W192">
        <v>60</v>
      </c>
      <c r="X192">
        <v>10</v>
      </c>
      <c r="Y192">
        <v>9</v>
      </c>
      <c r="Z192">
        <f t="shared" si="8"/>
        <v>614</v>
      </c>
      <c r="AA192" t="s">
        <v>924</v>
      </c>
    </row>
    <row r="193" spans="2:27" x14ac:dyDescent="0.25">
      <c r="B193" t="s">
        <v>656</v>
      </c>
      <c r="C193" t="s">
        <v>84</v>
      </c>
      <c r="D193" t="s">
        <v>657</v>
      </c>
      <c r="E193" t="s">
        <v>53</v>
      </c>
      <c r="F193" s="5">
        <v>46033</v>
      </c>
      <c r="G193">
        <v>3</v>
      </c>
      <c r="H193">
        <v>3</v>
      </c>
      <c r="U193">
        <v>5</v>
      </c>
      <c r="W193">
        <v>5</v>
      </c>
      <c r="Y193">
        <v>12</v>
      </c>
      <c r="Z193">
        <f t="shared" si="8"/>
        <v>10</v>
      </c>
      <c r="AA193" t="s">
        <v>887</v>
      </c>
    </row>
    <row r="194" spans="2:27" x14ac:dyDescent="0.25">
      <c r="B194" t="s">
        <v>658</v>
      </c>
      <c r="C194" t="s">
        <v>51</v>
      </c>
      <c r="D194" t="s">
        <v>659</v>
      </c>
      <c r="E194" t="s">
        <v>100</v>
      </c>
      <c r="F194" s="5">
        <v>46033</v>
      </c>
      <c r="G194">
        <v>4</v>
      </c>
      <c r="H194">
        <v>12</v>
      </c>
      <c r="U194">
        <v>33</v>
      </c>
      <c r="V194">
        <v>8</v>
      </c>
      <c r="W194">
        <v>4</v>
      </c>
      <c r="Y194">
        <v>12</v>
      </c>
      <c r="Z194">
        <f t="shared" si="8"/>
        <v>45</v>
      </c>
      <c r="AA194" t="s">
        <v>100</v>
      </c>
    </row>
    <row r="195" spans="2:27" x14ac:dyDescent="0.25">
      <c r="B195" t="s">
        <v>660</v>
      </c>
      <c r="C195" t="s">
        <v>84</v>
      </c>
      <c r="D195" t="s">
        <v>661</v>
      </c>
      <c r="E195" t="s">
        <v>53</v>
      </c>
      <c r="F195" s="5">
        <v>46337</v>
      </c>
      <c r="G195">
        <v>3</v>
      </c>
      <c r="H195">
        <v>3</v>
      </c>
      <c r="U195">
        <v>8</v>
      </c>
      <c r="V195">
        <v>1</v>
      </c>
      <c r="W195">
        <v>1</v>
      </c>
      <c r="X195">
        <v>1</v>
      </c>
      <c r="Y195">
        <v>12</v>
      </c>
      <c r="Z195">
        <f t="shared" ref="Z195:Z258" si="9">SUM(U195:X195)</f>
        <v>11</v>
      </c>
      <c r="AA195" t="s">
        <v>895</v>
      </c>
    </row>
    <row r="196" spans="2:27" x14ac:dyDescent="0.25">
      <c r="B196" t="s">
        <v>155</v>
      </c>
      <c r="C196" t="s">
        <v>51</v>
      </c>
      <c r="D196" t="s">
        <v>156</v>
      </c>
      <c r="E196" t="s">
        <v>53</v>
      </c>
      <c r="F196" s="5">
        <v>46184</v>
      </c>
      <c r="G196">
        <v>3</v>
      </c>
      <c r="H196">
        <v>30</v>
      </c>
      <c r="U196">
        <v>260</v>
      </c>
      <c r="V196">
        <v>18</v>
      </c>
      <c r="W196">
        <v>18</v>
      </c>
      <c r="X196">
        <v>2</v>
      </c>
      <c r="Y196">
        <v>12</v>
      </c>
      <c r="Z196">
        <f t="shared" si="9"/>
        <v>298</v>
      </c>
      <c r="AA196" t="s">
        <v>883</v>
      </c>
    </row>
    <row r="197" spans="2:27" x14ac:dyDescent="0.25">
      <c r="B197" t="s">
        <v>662</v>
      </c>
      <c r="C197" t="s">
        <v>84</v>
      </c>
      <c r="D197" t="s">
        <v>663</v>
      </c>
      <c r="E197" t="s">
        <v>53</v>
      </c>
      <c r="F197" s="5">
        <v>46033</v>
      </c>
      <c r="G197">
        <v>4</v>
      </c>
      <c r="H197">
        <v>4</v>
      </c>
      <c r="U197">
        <v>2</v>
      </c>
      <c r="V197">
        <v>1</v>
      </c>
      <c r="Y197">
        <v>12</v>
      </c>
      <c r="Z197">
        <f t="shared" si="9"/>
        <v>3</v>
      </c>
      <c r="AA197" t="s">
        <v>880</v>
      </c>
    </row>
    <row r="198" spans="2:27" x14ac:dyDescent="0.25">
      <c r="B198" t="s">
        <v>664</v>
      </c>
      <c r="C198" t="s">
        <v>84</v>
      </c>
      <c r="D198" t="s">
        <v>665</v>
      </c>
      <c r="E198" t="s">
        <v>53</v>
      </c>
      <c r="F198" s="5" t="s">
        <v>648</v>
      </c>
      <c r="G198">
        <v>2</v>
      </c>
      <c r="H198">
        <v>2</v>
      </c>
      <c r="U198">
        <v>22</v>
      </c>
      <c r="V198">
        <v>3</v>
      </c>
      <c r="W198">
        <v>4</v>
      </c>
      <c r="Y198">
        <v>12</v>
      </c>
      <c r="Z198">
        <f t="shared" si="9"/>
        <v>29</v>
      </c>
      <c r="AA198" t="s">
        <v>884</v>
      </c>
    </row>
    <row r="199" spans="2:27" x14ac:dyDescent="0.25">
      <c r="B199" t="s">
        <v>666</v>
      </c>
      <c r="C199" t="s">
        <v>84</v>
      </c>
      <c r="D199" t="s">
        <v>667</v>
      </c>
      <c r="E199" t="s">
        <v>53</v>
      </c>
      <c r="F199" s="5" t="s">
        <v>668</v>
      </c>
      <c r="G199">
        <v>3</v>
      </c>
      <c r="H199">
        <v>3</v>
      </c>
      <c r="U199">
        <v>4</v>
      </c>
      <c r="W199">
        <v>4</v>
      </c>
      <c r="Y199">
        <v>12</v>
      </c>
      <c r="Z199">
        <f t="shared" si="9"/>
        <v>8</v>
      </c>
      <c r="AA199" t="s">
        <v>899</v>
      </c>
    </row>
    <row r="200" spans="2:27" x14ac:dyDescent="0.25">
      <c r="B200" t="s">
        <v>669</v>
      </c>
      <c r="C200" t="s">
        <v>84</v>
      </c>
      <c r="D200" t="s">
        <v>670</v>
      </c>
      <c r="E200" t="s">
        <v>53</v>
      </c>
      <c r="F200" s="5">
        <v>46123</v>
      </c>
      <c r="G200">
        <v>3</v>
      </c>
      <c r="H200">
        <v>3</v>
      </c>
      <c r="U200">
        <v>8</v>
      </c>
      <c r="V200">
        <v>1</v>
      </c>
      <c r="X200">
        <v>1</v>
      </c>
      <c r="Y200">
        <v>12</v>
      </c>
      <c r="Z200">
        <f t="shared" si="9"/>
        <v>10</v>
      </c>
      <c r="AA200" t="s">
        <v>895</v>
      </c>
    </row>
    <row r="201" spans="2:27" x14ac:dyDescent="0.25">
      <c r="B201" t="s">
        <v>671</v>
      </c>
      <c r="C201" t="s">
        <v>84</v>
      </c>
      <c r="D201" t="s">
        <v>672</v>
      </c>
      <c r="E201" t="s">
        <v>53</v>
      </c>
      <c r="F201" s="5">
        <v>46064</v>
      </c>
      <c r="G201">
        <v>3</v>
      </c>
      <c r="H201">
        <v>3</v>
      </c>
      <c r="U201">
        <v>4</v>
      </c>
      <c r="W201">
        <v>4</v>
      </c>
      <c r="Y201">
        <v>12</v>
      </c>
      <c r="Z201">
        <f t="shared" si="9"/>
        <v>8</v>
      </c>
      <c r="AA201" t="s">
        <v>887</v>
      </c>
    </row>
    <row r="202" spans="2:27" x14ac:dyDescent="0.25">
      <c r="B202" t="s">
        <v>673</v>
      </c>
      <c r="C202" t="s">
        <v>84</v>
      </c>
      <c r="D202" t="s">
        <v>674</v>
      </c>
      <c r="E202" t="s">
        <v>53</v>
      </c>
      <c r="F202" s="5">
        <v>46367</v>
      </c>
      <c r="G202">
        <v>3</v>
      </c>
      <c r="H202">
        <v>3</v>
      </c>
      <c r="U202">
        <v>9</v>
      </c>
      <c r="V202">
        <v>1</v>
      </c>
      <c r="W202">
        <v>1</v>
      </c>
      <c r="X202">
        <v>1</v>
      </c>
      <c r="Y202">
        <v>12</v>
      </c>
      <c r="Z202">
        <f t="shared" si="9"/>
        <v>12</v>
      </c>
      <c r="AA202" t="s">
        <v>895</v>
      </c>
    </row>
    <row r="203" spans="2:27" x14ac:dyDescent="0.25">
      <c r="B203" t="s">
        <v>675</v>
      </c>
      <c r="C203" t="s">
        <v>84</v>
      </c>
      <c r="D203" t="s">
        <v>676</v>
      </c>
      <c r="E203" t="s">
        <v>53</v>
      </c>
      <c r="F203" s="5">
        <v>46367</v>
      </c>
      <c r="G203">
        <v>3</v>
      </c>
      <c r="H203">
        <v>3</v>
      </c>
      <c r="U203">
        <v>8</v>
      </c>
      <c r="V203">
        <v>1</v>
      </c>
      <c r="W203">
        <v>1</v>
      </c>
      <c r="X203">
        <v>1</v>
      </c>
      <c r="Y203">
        <v>12</v>
      </c>
      <c r="Z203">
        <f t="shared" si="9"/>
        <v>11</v>
      </c>
      <c r="AA203" t="s">
        <v>895</v>
      </c>
    </row>
    <row r="204" spans="2:27" x14ac:dyDescent="0.25">
      <c r="B204" t="s">
        <v>677</v>
      </c>
      <c r="C204" t="s">
        <v>84</v>
      </c>
      <c r="D204" t="s">
        <v>678</v>
      </c>
      <c r="E204" t="s">
        <v>53</v>
      </c>
      <c r="F204" s="5" t="s">
        <v>679</v>
      </c>
      <c r="G204">
        <v>3</v>
      </c>
      <c r="H204">
        <v>3</v>
      </c>
      <c r="U204">
        <v>3</v>
      </c>
      <c r="V204">
        <v>1</v>
      </c>
      <c r="Y204">
        <v>12</v>
      </c>
      <c r="Z204">
        <f t="shared" si="9"/>
        <v>4</v>
      </c>
      <c r="AA204" t="s">
        <v>880</v>
      </c>
    </row>
    <row r="205" spans="2:27" x14ac:dyDescent="0.25">
      <c r="B205" t="s">
        <v>680</v>
      </c>
      <c r="C205" t="s">
        <v>75</v>
      </c>
      <c r="D205" t="s">
        <v>681</v>
      </c>
      <c r="E205" t="s">
        <v>76</v>
      </c>
      <c r="F205" s="5" t="s">
        <v>640</v>
      </c>
      <c r="G205">
        <v>1</v>
      </c>
      <c r="H205">
        <v>3</v>
      </c>
      <c r="U205">
        <v>165</v>
      </c>
      <c r="V205">
        <v>36</v>
      </c>
      <c r="W205">
        <v>7</v>
      </c>
      <c r="X205">
        <v>12</v>
      </c>
      <c r="Y205">
        <v>12</v>
      </c>
      <c r="Z205">
        <f t="shared" si="9"/>
        <v>220</v>
      </c>
      <c r="AA205" t="s">
        <v>902</v>
      </c>
    </row>
    <row r="206" spans="2:27" x14ac:dyDescent="0.25">
      <c r="B206" t="s">
        <v>682</v>
      </c>
      <c r="C206" t="s">
        <v>51</v>
      </c>
      <c r="D206" t="s">
        <v>683</v>
      </c>
      <c r="E206" t="s">
        <v>53</v>
      </c>
      <c r="F206" s="5">
        <v>46185</v>
      </c>
      <c r="G206">
        <v>3</v>
      </c>
      <c r="H206">
        <v>21</v>
      </c>
      <c r="U206">
        <v>65</v>
      </c>
      <c r="W206">
        <v>65</v>
      </c>
      <c r="X206">
        <v>1</v>
      </c>
      <c r="Y206">
        <v>12</v>
      </c>
      <c r="Z206">
        <f t="shared" si="9"/>
        <v>131</v>
      </c>
      <c r="AA206" t="s">
        <v>925</v>
      </c>
    </row>
    <row r="207" spans="2:27" x14ac:dyDescent="0.25">
      <c r="B207" t="s">
        <v>684</v>
      </c>
      <c r="C207" t="s">
        <v>84</v>
      </c>
      <c r="D207" t="s">
        <v>685</v>
      </c>
      <c r="E207" t="s">
        <v>53</v>
      </c>
      <c r="F207" s="5" t="s">
        <v>686</v>
      </c>
      <c r="G207">
        <v>3</v>
      </c>
      <c r="H207">
        <v>3</v>
      </c>
      <c r="U207">
        <v>9</v>
      </c>
      <c r="V207">
        <v>1</v>
      </c>
      <c r="W207">
        <v>1</v>
      </c>
      <c r="X207">
        <v>1</v>
      </c>
      <c r="Y207">
        <v>12</v>
      </c>
      <c r="Z207">
        <f t="shared" si="9"/>
        <v>12</v>
      </c>
      <c r="AA207" t="s">
        <v>895</v>
      </c>
    </row>
    <row r="208" spans="2:27" x14ac:dyDescent="0.25">
      <c r="B208" t="s">
        <v>687</v>
      </c>
      <c r="C208" t="s">
        <v>84</v>
      </c>
      <c r="D208" t="s">
        <v>688</v>
      </c>
      <c r="E208" t="s">
        <v>53</v>
      </c>
      <c r="F208" s="5" t="s">
        <v>686</v>
      </c>
      <c r="G208">
        <v>3</v>
      </c>
      <c r="H208">
        <v>3</v>
      </c>
      <c r="U208">
        <v>3</v>
      </c>
      <c r="V208">
        <v>1</v>
      </c>
      <c r="Y208">
        <v>12</v>
      </c>
      <c r="Z208">
        <f t="shared" si="9"/>
        <v>4</v>
      </c>
      <c r="AA208" t="s">
        <v>880</v>
      </c>
    </row>
    <row r="209" spans="2:27" x14ac:dyDescent="0.25">
      <c r="B209" t="s">
        <v>689</v>
      </c>
      <c r="C209" t="s">
        <v>84</v>
      </c>
      <c r="D209" t="s">
        <v>690</v>
      </c>
      <c r="E209" t="s">
        <v>53</v>
      </c>
      <c r="F209" s="5" t="s">
        <v>691</v>
      </c>
      <c r="G209">
        <v>3</v>
      </c>
      <c r="H209">
        <v>3</v>
      </c>
      <c r="U209">
        <v>4</v>
      </c>
      <c r="W209">
        <v>4</v>
      </c>
      <c r="Y209">
        <v>12</v>
      </c>
      <c r="Z209">
        <f t="shared" si="9"/>
        <v>8</v>
      </c>
      <c r="AA209" t="s">
        <v>899</v>
      </c>
    </row>
    <row r="210" spans="2:27" x14ac:dyDescent="0.25">
      <c r="B210" t="s">
        <v>692</v>
      </c>
      <c r="C210" t="s">
        <v>84</v>
      </c>
      <c r="D210" t="s">
        <v>693</v>
      </c>
      <c r="E210" t="s">
        <v>53</v>
      </c>
      <c r="F210" s="5">
        <v>46367</v>
      </c>
      <c r="G210">
        <v>3</v>
      </c>
      <c r="H210">
        <v>3</v>
      </c>
      <c r="U210">
        <v>5</v>
      </c>
      <c r="W210">
        <v>5</v>
      </c>
      <c r="Y210">
        <v>12</v>
      </c>
      <c r="Z210">
        <f t="shared" si="9"/>
        <v>10</v>
      </c>
      <c r="AA210" t="s">
        <v>926</v>
      </c>
    </row>
    <row r="211" spans="2:27" x14ac:dyDescent="0.25">
      <c r="B211" t="s">
        <v>694</v>
      </c>
      <c r="C211" t="s">
        <v>84</v>
      </c>
      <c r="D211" t="s">
        <v>695</v>
      </c>
      <c r="E211" t="s">
        <v>53</v>
      </c>
      <c r="F211" s="5" t="s">
        <v>696</v>
      </c>
      <c r="G211">
        <v>3</v>
      </c>
      <c r="H211">
        <v>3</v>
      </c>
      <c r="U211">
        <v>9</v>
      </c>
      <c r="V211">
        <v>1</v>
      </c>
      <c r="W211">
        <v>1</v>
      </c>
      <c r="X211">
        <v>1</v>
      </c>
      <c r="Y211">
        <v>12</v>
      </c>
      <c r="Z211">
        <f t="shared" si="9"/>
        <v>12</v>
      </c>
      <c r="AA211" t="s">
        <v>895</v>
      </c>
    </row>
    <row r="212" spans="2:27" x14ac:dyDescent="0.25">
      <c r="B212" t="s">
        <v>697</v>
      </c>
      <c r="C212" t="s">
        <v>84</v>
      </c>
      <c r="D212" t="s">
        <v>698</v>
      </c>
      <c r="E212" t="s">
        <v>53</v>
      </c>
      <c r="F212" s="5" t="s">
        <v>686</v>
      </c>
      <c r="G212">
        <v>3</v>
      </c>
      <c r="H212">
        <v>3</v>
      </c>
      <c r="U212">
        <v>8</v>
      </c>
      <c r="V212">
        <v>1</v>
      </c>
      <c r="W212">
        <v>1</v>
      </c>
      <c r="X212">
        <v>1</v>
      </c>
      <c r="Y212">
        <v>12</v>
      </c>
      <c r="Z212">
        <f t="shared" si="9"/>
        <v>11</v>
      </c>
      <c r="AA212" t="s">
        <v>895</v>
      </c>
    </row>
    <row r="213" spans="2:27" x14ac:dyDescent="0.25">
      <c r="B213" t="s">
        <v>699</v>
      </c>
      <c r="C213" t="s">
        <v>84</v>
      </c>
      <c r="D213" t="s">
        <v>700</v>
      </c>
      <c r="E213" t="s">
        <v>53</v>
      </c>
      <c r="F213" s="5" t="s">
        <v>701</v>
      </c>
      <c r="G213">
        <v>3</v>
      </c>
      <c r="H213">
        <v>3</v>
      </c>
      <c r="U213">
        <v>5</v>
      </c>
      <c r="W213">
        <v>5</v>
      </c>
      <c r="Y213">
        <v>12</v>
      </c>
      <c r="Z213">
        <f t="shared" si="9"/>
        <v>10</v>
      </c>
      <c r="AA213" t="s">
        <v>887</v>
      </c>
    </row>
    <row r="214" spans="2:27" x14ac:dyDescent="0.25">
      <c r="B214" t="s">
        <v>702</v>
      </c>
      <c r="C214" t="s">
        <v>84</v>
      </c>
      <c r="D214" t="s">
        <v>703</v>
      </c>
      <c r="E214" t="s">
        <v>53</v>
      </c>
      <c r="F214" s="5" t="s">
        <v>704</v>
      </c>
      <c r="G214">
        <v>3</v>
      </c>
      <c r="H214">
        <v>3</v>
      </c>
      <c r="U214">
        <v>2</v>
      </c>
      <c r="V214">
        <v>1</v>
      </c>
      <c r="Y214">
        <v>12</v>
      </c>
      <c r="Z214">
        <f t="shared" si="9"/>
        <v>3</v>
      </c>
      <c r="AA214" t="s">
        <v>880</v>
      </c>
    </row>
    <row r="215" spans="2:27" x14ac:dyDescent="0.25">
      <c r="B215" t="s">
        <v>705</v>
      </c>
      <c r="C215" t="s">
        <v>75</v>
      </c>
      <c r="D215" t="s">
        <v>706</v>
      </c>
      <c r="E215" t="s">
        <v>114</v>
      </c>
      <c r="F215" s="5">
        <v>46033</v>
      </c>
      <c r="G215">
        <v>4</v>
      </c>
      <c r="H215">
        <v>16</v>
      </c>
      <c r="U215">
        <v>11</v>
      </c>
      <c r="V215">
        <v>20</v>
      </c>
      <c r="W215">
        <v>4</v>
      </c>
      <c r="X215">
        <v>11</v>
      </c>
      <c r="Y215">
        <v>12</v>
      </c>
      <c r="Z215">
        <f t="shared" si="9"/>
        <v>46</v>
      </c>
      <c r="AA215" t="s">
        <v>114</v>
      </c>
    </row>
    <row r="216" spans="2:27" x14ac:dyDescent="0.25">
      <c r="B216" t="s">
        <v>707</v>
      </c>
      <c r="C216" t="s">
        <v>84</v>
      </c>
      <c r="D216" t="s">
        <v>708</v>
      </c>
      <c r="E216" t="s">
        <v>53</v>
      </c>
      <c r="F216" s="5">
        <v>46124</v>
      </c>
      <c r="G216">
        <v>3</v>
      </c>
      <c r="H216">
        <v>3</v>
      </c>
      <c r="U216">
        <v>8</v>
      </c>
      <c r="V216">
        <v>1</v>
      </c>
      <c r="W216">
        <v>1</v>
      </c>
      <c r="X216">
        <v>1</v>
      </c>
      <c r="Y216">
        <v>12</v>
      </c>
      <c r="Z216">
        <f t="shared" si="9"/>
        <v>11</v>
      </c>
      <c r="AA216" t="s">
        <v>895</v>
      </c>
    </row>
    <row r="217" spans="2:27" x14ac:dyDescent="0.25">
      <c r="B217" t="s">
        <v>709</v>
      </c>
      <c r="C217" t="s">
        <v>75</v>
      </c>
      <c r="D217" t="s">
        <v>710</v>
      </c>
      <c r="E217" t="s">
        <v>76</v>
      </c>
      <c r="F217" s="5">
        <v>46034</v>
      </c>
      <c r="G217">
        <v>4</v>
      </c>
      <c r="H217">
        <v>68</v>
      </c>
      <c r="U217">
        <v>261</v>
      </c>
      <c r="V217">
        <v>105</v>
      </c>
      <c r="X217">
        <v>1</v>
      </c>
      <c r="Y217">
        <v>12</v>
      </c>
      <c r="Z217">
        <f t="shared" si="9"/>
        <v>367</v>
      </c>
      <c r="AA217" t="s">
        <v>927</v>
      </c>
    </row>
    <row r="218" spans="2:27" x14ac:dyDescent="0.25">
      <c r="B218" t="s">
        <v>711</v>
      </c>
      <c r="C218" t="s">
        <v>84</v>
      </c>
      <c r="D218" t="s">
        <v>712</v>
      </c>
      <c r="E218" t="s">
        <v>53</v>
      </c>
      <c r="F218" s="5">
        <v>46124</v>
      </c>
      <c r="G218">
        <v>3</v>
      </c>
      <c r="H218">
        <v>3</v>
      </c>
      <c r="U218">
        <v>1</v>
      </c>
      <c r="W218">
        <v>1</v>
      </c>
      <c r="Y218">
        <v>12</v>
      </c>
      <c r="Z218">
        <f t="shared" si="9"/>
        <v>2</v>
      </c>
      <c r="AA218" t="s">
        <v>880</v>
      </c>
    </row>
    <row r="219" spans="2:27" x14ac:dyDescent="0.25">
      <c r="B219" t="s">
        <v>713</v>
      </c>
      <c r="C219" t="s">
        <v>84</v>
      </c>
      <c r="D219" t="s">
        <v>714</v>
      </c>
      <c r="E219" t="s">
        <v>53</v>
      </c>
      <c r="F219" s="5">
        <v>46124</v>
      </c>
      <c r="G219">
        <v>3</v>
      </c>
      <c r="H219">
        <v>3</v>
      </c>
      <c r="U219">
        <v>4</v>
      </c>
      <c r="W219">
        <v>4</v>
      </c>
      <c r="Y219">
        <v>12</v>
      </c>
      <c r="Z219">
        <f t="shared" si="9"/>
        <v>8</v>
      </c>
      <c r="AA219" t="s">
        <v>897</v>
      </c>
    </row>
    <row r="220" spans="2:27" x14ac:dyDescent="0.25">
      <c r="B220" t="s">
        <v>715</v>
      </c>
      <c r="C220" t="s">
        <v>51</v>
      </c>
      <c r="D220" t="s">
        <v>716</v>
      </c>
      <c r="E220" t="s">
        <v>53</v>
      </c>
      <c r="F220" s="5" t="s">
        <v>648</v>
      </c>
      <c r="G220">
        <v>4</v>
      </c>
      <c r="H220">
        <v>4</v>
      </c>
      <c r="U220">
        <v>9</v>
      </c>
      <c r="V220">
        <v>4</v>
      </c>
      <c r="Y220">
        <v>12</v>
      </c>
      <c r="Z220">
        <f t="shared" si="9"/>
        <v>13</v>
      </c>
      <c r="AA220" t="s">
        <v>920</v>
      </c>
    </row>
    <row r="221" spans="2:27" x14ac:dyDescent="0.25">
      <c r="B221" t="s">
        <v>717</v>
      </c>
      <c r="C221" t="s">
        <v>51</v>
      </c>
      <c r="D221" t="s">
        <v>718</v>
      </c>
      <c r="E221" t="s">
        <v>100</v>
      </c>
      <c r="F221" s="5">
        <v>46154</v>
      </c>
      <c r="G221">
        <v>3</v>
      </c>
      <c r="H221">
        <v>27</v>
      </c>
      <c r="U221">
        <v>134</v>
      </c>
      <c r="V221">
        <v>24</v>
      </c>
      <c r="W221">
        <v>12</v>
      </c>
      <c r="Y221">
        <v>12</v>
      </c>
      <c r="Z221">
        <f t="shared" si="9"/>
        <v>170</v>
      </c>
      <c r="AA221" t="s">
        <v>100</v>
      </c>
    </row>
    <row r="222" spans="2:27" x14ac:dyDescent="0.25">
      <c r="B222" t="s">
        <v>719</v>
      </c>
      <c r="C222" t="s">
        <v>84</v>
      </c>
      <c r="D222" t="s">
        <v>720</v>
      </c>
      <c r="E222" t="s">
        <v>53</v>
      </c>
      <c r="F222" s="5" t="s">
        <v>721</v>
      </c>
      <c r="G222">
        <v>3</v>
      </c>
      <c r="H222">
        <v>3</v>
      </c>
      <c r="U222">
        <v>20</v>
      </c>
      <c r="V222">
        <v>6</v>
      </c>
      <c r="Y222">
        <v>12</v>
      </c>
      <c r="Z222">
        <f t="shared" si="9"/>
        <v>26</v>
      </c>
      <c r="AA222" t="s">
        <v>928</v>
      </c>
    </row>
    <row r="223" spans="2:27" x14ac:dyDescent="0.25">
      <c r="B223" t="s">
        <v>722</v>
      </c>
      <c r="C223" t="s">
        <v>51</v>
      </c>
      <c r="D223" t="s">
        <v>723</v>
      </c>
      <c r="E223" t="s">
        <v>53</v>
      </c>
      <c r="F223" s="5" t="s">
        <v>724</v>
      </c>
      <c r="G223">
        <v>4</v>
      </c>
      <c r="H223">
        <v>16</v>
      </c>
      <c r="U223">
        <v>35</v>
      </c>
      <c r="V223">
        <v>16</v>
      </c>
      <c r="W223">
        <v>4</v>
      </c>
      <c r="X223">
        <v>2</v>
      </c>
      <c r="Y223">
        <v>12</v>
      </c>
      <c r="Z223">
        <f t="shared" si="9"/>
        <v>57</v>
      </c>
      <c r="AA223" t="s">
        <v>923</v>
      </c>
    </row>
    <row r="224" spans="2:27" x14ac:dyDescent="0.25">
      <c r="B224" t="s">
        <v>725</v>
      </c>
      <c r="C224" t="s">
        <v>84</v>
      </c>
      <c r="D224" t="s">
        <v>726</v>
      </c>
      <c r="E224" t="s">
        <v>53</v>
      </c>
      <c r="F224" s="5">
        <v>46306</v>
      </c>
      <c r="G224">
        <v>3</v>
      </c>
      <c r="H224">
        <v>3</v>
      </c>
      <c r="U224">
        <v>17</v>
      </c>
      <c r="V224">
        <v>4</v>
      </c>
      <c r="Y224">
        <v>12</v>
      </c>
      <c r="Z224">
        <f t="shared" si="9"/>
        <v>21</v>
      </c>
      <c r="AA224" t="s">
        <v>929</v>
      </c>
    </row>
    <row r="225" spans="2:27" x14ac:dyDescent="0.25">
      <c r="B225" t="s">
        <v>727</v>
      </c>
      <c r="C225" t="s">
        <v>51</v>
      </c>
      <c r="D225" t="s">
        <v>157</v>
      </c>
      <c r="E225" t="s">
        <v>53</v>
      </c>
      <c r="F225" s="5">
        <v>46388</v>
      </c>
      <c r="G225">
        <v>4</v>
      </c>
      <c r="H225">
        <v>96</v>
      </c>
      <c r="U225">
        <v>109</v>
      </c>
      <c r="V225">
        <v>441</v>
      </c>
      <c r="Y225">
        <v>12</v>
      </c>
      <c r="Z225">
        <f t="shared" si="9"/>
        <v>550</v>
      </c>
      <c r="AA225" t="s">
        <v>879</v>
      </c>
    </row>
    <row r="226" spans="2:27" x14ac:dyDescent="0.25">
      <c r="B226" t="s">
        <v>728</v>
      </c>
      <c r="C226" t="s">
        <v>51</v>
      </c>
      <c r="D226" t="s">
        <v>729</v>
      </c>
      <c r="E226" t="s">
        <v>53</v>
      </c>
      <c r="F226" s="5" t="s">
        <v>730</v>
      </c>
      <c r="G226">
        <v>12</v>
      </c>
      <c r="H226">
        <v>1</v>
      </c>
      <c r="V226">
        <v>10</v>
      </c>
      <c r="Y226">
        <v>36</v>
      </c>
      <c r="Z226">
        <f t="shared" si="9"/>
        <v>10</v>
      </c>
      <c r="AA226" t="s">
        <v>930</v>
      </c>
    </row>
    <row r="227" spans="2:27" x14ac:dyDescent="0.25">
      <c r="B227" t="s">
        <v>731</v>
      </c>
      <c r="C227" t="s">
        <v>51</v>
      </c>
      <c r="D227" t="s">
        <v>732</v>
      </c>
      <c r="E227" t="s">
        <v>53</v>
      </c>
      <c r="F227" s="5" t="s">
        <v>733</v>
      </c>
      <c r="G227">
        <v>4</v>
      </c>
      <c r="H227">
        <v>124</v>
      </c>
      <c r="U227">
        <v>366</v>
      </c>
      <c r="V227">
        <v>79</v>
      </c>
      <c r="X227">
        <v>3</v>
      </c>
      <c r="Y227">
        <v>12</v>
      </c>
      <c r="Z227">
        <f t="shared" si="9"/>
        <v>448</v>
      </c>
      <c r="AA227" t="s">
        <v>920</v>
      </c>
    </row>
    <row r="228" spans="2:27" x14ac:dyDescent="0.25">
      <c r="B228" t="s">
        <v>734</v>
      </c>
      <c r="C228" t="s">
        <v>84</v>
      </c>
      <c r="D228" t="s">
        <v>735</v>
      </c>
      <c r="E228" t="s">
        <v>53</v>
      </c>
      <c r="F228" s="5">
        <v>46093</v>
      </c>
      <c r="G228">
        <v>3</v>
      </c>
      <c r="H228">
        <v>3</v>
      </c>
      <c r="U228">
        <v>8</v>
      </c>
      <c r="W228">
        <v>8</v>
      </c>
      <c r="Y228">
        <v>12</v>
      </c>
      <c r="Z228">
        <f t="shared" si="9"/>
        <v>16</v>
      </c>
      <c r="AA228" t="s">
        <v>895</v>
      </c>
    </row>
    <row r="229" spans="2:27" x14ac:dyDescent="0.25">
      <c r="B229" t="s">
        <v>736</v>
      </c>
      <c r="C229" t="s">
        <v>51</v>
      </c>
      <c r="D229" t="s">
        <v>737</v>
      </c>
      <c r="E229" t="s">
        <v>53</v>
      </c>
      <c r="F229" s="5" t="s">
        <v>738</v>
      </c>
      <c r="G229">
        <v>3</v>
      </c>
      <c r="H229">
        <v>30</v>
      </c>
      <c r="U229">
        <v>115</v>
      </c>
      <c r="V229">
        <v>48</v>
      </c>
      <c r="Y229">
        <v>12</v>
      </c>
      <c r="Z229">
        <f t="shared" si="9"/>
        <v>163</v>
      </c>
      <c r="AA229" t="s">
        <v>878</v>
      </c>
    </row>
    <row r="230" spans="2:27" x14ac:dyDescent="0.25">
      <c r="B230" t="s">
        <v>739</v>
      </c>
      <c r="C230" t="s">
        <v>75</v>
      </c>
      <c r="D230" t="s">
        <v>740</v>
      </c>
      <c r="E230" t="s">
        <v>76</v>
      </c>
      <c r="F230" s="5">
        <v>46388</v>
      </c>
      <c r="G230">
        <v>4</v>
      </c>
      <c r="H230">
        <v>4</v>
      </c>
      <c r="U230">
        <v>12</v>
      </c>
      <c r="V230">
        <v>3</v>
      </c>
      <c r="Y230">
        <v>12</v>
      </c>
      <c r="Z230">
        <f t="shared" si="9"/>
        <v>15</v>
      </c>
      <c r="AA230" t="s">
        <v>909</v>
      </c>
    </row>
    <row r="231" spans="2:27" x14ac:dyDescent="0.25">
      <c r="B231" t="s">
        <v>741</v>
      </c>
      <c r="C231" t="s">
        <v>75</v>
      </c>
      <c r="D231" t="s">
        <v>158</v>
      </c>
      <c r="E231" t="s">
        <v>76</v>
      </c>
      <c r="F231" s="5" t="s">
        <v>72</v>
      </c>
      <c r="G231">
        <v>4</v>
      </c>
      <c r="H231">
        <v>132</v>
      </c>
      <c r="U231">
        <v>295</v>
      </c>
      <c r="V231">
        <v>105</v>
      </c>
      <c r="X231">
        <v>15</v>
      </c>
      <c r="Y231">
        <v>12</v>
      </c>
      <c r="Z231">
        <f t="shared" si="9"/>
        <v>415</v>
      </c>
      <c r="AA231" t="s">
        <v>114</v>
      </c>
    </row>
    <row r="232" spans="2:27" x14ac:dyDescent="0.25">
      <c r="B232" t="s">
        <v>742</v>
      </c>
      <c r="C232" t="s">
        <v>51</v>
      </c>
      <c r="D232" t="s">
        <v>743</v>
      </c>
      <c r="E232" t="s">
        <v>53</v>
      </c>
      <c r="F232" s="5">
        <v>46388</v>
      </c>
      <c r="G232">
        <v>3</v>
      </c>
      <c r="H232">
        <v>42</v>
      </c>
      <c r="U232">
        <v>139</v>
      </c>
      <c r="V232">
        <v>29</v>
      </c>
      <c r="W232">
        <v>70</v>
      </c>
      <c r="X232">
        <v>1</v>
      </c>
      <c r="Y232">
        <v>12</v>
      </c>
      <c r="Z232">
        <f t="shared" si="9"/>
        <v>239</v>
      </c>
      <c r="AA232" t="s">
        <v>907</v>
      </c>
    </row>
    <row r="233" spans="2:27" x14ac:dyDescent="0.25">
      <c r="B233" t="s">
        <v>744</v>
      </c>
      <c r="C233" t="s">
        <v>84</v>
      </c>
      <c r="D233" t="s">
        <v>745</v>
      </c>
      <c r="E233" t="s">
        <v>53</v>
      </c>
      <c r="F233" s="5" t="s">
        <v>72</v>
      </c>
      <c r="G233">
        <v>3</v>
      </c>
      <c r="H233">
        <v>3</v>
      </c>
      <c r="U233">
        <v>8</v>
      </c>
      <c r="V233">
        <v>1</v>
      </c>
      <c r="W233">
        <v>1</v>
      </c>
      <c r="X233">
        <v>1</v>
      </c>
      <c r="Y233">
        <v>12</v>
      </c>
      <c r="Z233">
        <f t="shared" si="9"/>
        <v>11</v>
      </c>
      <c r="AA233" t="s">
        <v>895</v>
      </c>
    </row>
    <row r="234" spans="2:27" x14ac:dyDescent="0.25">
      <c r="B234" t="s">
        <v>305</v>
      </c>
      <c r="C234" t="s">
        <v>51</v>
      </c>
      <c r="E234" t="s">
        <v>53</v>
      </c>
      <c r="F234" s="5">
        <v>46388</v>
      </c>
      <c r="G234">
        <v>3</v>
      </c>
      <c r="H234">
        <v>9</v>
      </c>
      <c r="U234">
        <v>38</v>
      </c>
      <c r="V234">
        <v>7</v>
      </c>
      <c r="Z234">
        <f t="shared" si="9"/>
        <v>45</v>
      </c>
    </row>
    <row r="235" spans="2:27" x14ac:dyDescent="0.25">
      <c r="B235" t="s">
        <v>159</v>
      </c>
      <c r="C235" t="s">
        <v>51</v>
      </c>
      <c r="D235" t="s">
        <v>160</v>
      </c>
      <c r="E235" t="s">
        <v>53</v>
      </c>
      <c r="F235" s="5" t="s">
        <v>90</v>
      </c>
      <c r="G235">
        <v>1</v>
      </c>
      <c r="H235">
        <v>18</v>
      </c>
      <c r="U235">
        <v>244</v>
      </c>
      <c r="V235">
        <v>91</v>
      </c>
      <c r="X235">
        <v>9</v>
      </c>
      <c r="Y235">
        <v>3</v>
      </c>
      <c r="Z235">
        <f t="shared" si="9"/>
        <v>344</v>
      </c>
      <c r="AA235" t="s">
        <v>931</v>
      </c>
    </row>
    <row r="236" spans="2:27" x14ac:dyDescent="0.25">
      <c r="B236" t="s">
        <v>746</v>
      </c>
      <c r="C236" t="s">
        <v>84</v>
      </c>
      <c r="D236" t="s">
        <v>747</v>
      </c>
      <c r="E236" t="s">
        <v>53</v>
      </c>
      <c r="F236" s="5" t="s">
        <v>748</v>
      </c>
      <c r="G236">
        <v>3</v>
      </c>
      <c r="H236">
        <v>6</v>
      </c>
      <c r="U236">
        <v>39</v>
      </c>
      <c r="Y236">
        <v>12</v>
      </c>
      <c r="Z236">
        <f t="shared" si="9"/>
        <v>39</v>
      </c>
      <c r="AA236" t="s">
        <v>889</v>
      </c>
    </row>
    <row r="237" spans="2:27" x14ac:dyDescent="0.25">
      <c r="B237" t="s">
        <v>749</v>
      </c>
      <c r="C237" t="s">
        <v>84</v>
      </c>
      <c r="D237" t="s">
        <v>750</v>
      </c>
      <c r="E237" t="s">
        <v>53</v>
      </c>
      <c r="F237" s="5" t="s">
        <v>72</v>
      </c>
      <c r="G237">
        <v>3</v>
      </c>
      <c r="H237">
        <v>3</v>
      </c>
      <c r="U237">
        <v>9</v>
      </c>
      <c r="V237">
        <v>1</v>
      </c>
      <c r="W237">
        <v>1</v>
      </c>
      <c r="X237">
        <v>1</v>
      </c>
      <c r="Y237">
        <v>12</v>
      </c>
      <c r="Z237">
        <f t="shared" si="9"/>
        <v>12</v>
      </c>
      <c r="AA237" t="s">
        <v>895</v>
      </c>
    </row>
    <row r="238" spans="2:27" x14ac:dyDescent="0.25">
      <c r="B238" t="s">
        <v>751</v>
      </c>
      <c r="C238" t="s">
        <v>75</v>
      </c>
      <c r="D238" t="s">
        <v>752</v>
      </c>
      <c r="E238" t="s">
        <v>76</v>
      </c>
      <c r="F238" s="5" t="s">
        <v>730</v>
      </c>
      <c r="G238">
        <v>1</v>
      </c>
      <c r="H238">
        <v>12</v>
      </c>
      <c r="U238">
        <v>35</v>
      </c>
      <c r="V238">
        <v>66</v>
      </c>
      <c r="X238">
        <v>21</v>
      </c>
      <c r="Y238">
        <v>24</v>
      </c>
      <c r="Z238">
        <f t="shared" si="9"/>
        <v>122</v>
      </c>
      <c r="AA238" t="s">
        <v>909</v>
      </c>
    </row>
    <row r="239" spans="2:27" x14ac:dyDescent="0.25">
      <c r="B239" t="s">
        <v>753</v>
      </c>
      <c r="C239" t="s">
        <v>75</v>
      </c>
      <c r="D239" t="s">
        <v>754</v>
      </c>
      <c r="E239" t="s">
        <v>76</v>
      </c>
      <c r="F239" s="5" t="s">
        <v>72</v>
      </c>
      <c r="G239">
        <v>4</v>
      </c>
      <c r="H239">
        <v>4</v>
      </c>
      <c r="U239">
        <v>9</v>
      </c>
      <c r="V239">
        <v>2</v>
      </c>
      <c r="W239">
        <v>1</v>
      </c>
      <c r="X239">
        <v>2</v>
      </c>
      <c r="Y239">
        <v>12</v>
      </c>
      <c r="Z239">
        <f t="shared" si="9"/>
        <v>14</v>
      </c>
      <c r="AA239" t="s">
        <v>891</v>
      </c>
    </row>
    <row r="240" spans="2:27" x14ac:dyDescent="0.25">
      <c r="B240" t="s">
        <v>242</v>
      </c>
      <c r="C240" t="s">
        <v>51</v>
      </c>
      <c r="D240" t="s">
        <v>240</v>
      </c>
      <c r="E240" t="s">
        <v>53</v>
      </c>
      <c r="F240" s="5" t="s">
        <v>755</v>
      </c>
      <c r="G240">
        <v>4</v>
      </c>
      <c r="H240">
        <v>27</v>
      </c>
      <c r="U240">
        <v>154</v>
      </c>
      <c r="V240">
        <v>36</v>
      </c>
      <c r="W240">
        <v>15</v>
      </c>
      <c r="X240">
        <v>4</v>
      </c>
      <c r="Y240">
        <v>12</v>
      </c>
      <c r="Z240">
        <f t="shared" si="9"/>
        <v>209</v>
      </c>
      <c r="AA240" t="s">
        <v>919</v>
      </c>
    </row>
    <row r="241" spans="2:27" x14ac:dyDescent="0.25">
      <c r="B241" t="s">
        <v>306</v>
      </c>
      <c r="C241" t="s">
        <v>51</v>
      </c>
      <c r="D241" t="s">
        <v>756</v>
      </c>
      <c r="E241" t="s">
        <v>53</v>
      </c>
      <c r="F241" s="5">
        <v>46388</v>
      </c>
      <c r="G241">
        <v>4</v>
      </c>
      <c r="H241">
        <v>4</v>
      </c>
      <c r="V241">
        <v>17</v>
      </c>
      <c r="Y241">
        <v>36</v>
      </c>
      <c r="Z241">
        <f t="shared" si="9"/>
        <v>17</v>
      </c>
      <c r="AA241" t="s">
        <v>907</v>
      </c>
    </row>
    <row r="242" spans="2:27" x14ac:dyDescent="0.25">
      <c r="B242" t="s">
        <v>757</v>
      </c>
      <c r="C242" t="s">
        <v>51</v>
      </c>
      <c r="F242" s="5" t="s">
        <v>758</v>
      </c>
      <c r="U242">
        <v>420</v>
      </c>
      <c r="V242">
        <v>96</v>
      </c>
      <c r="X242">
        <v>2</v>
      </c>
      <c r="Z242">
        <f t="shared" si="9"/>
        <v>518</v>
      </c>
    </row>
    <row r="243" spans="2:27" x14ac:dyDescent="0.25">
      <c r="B243" t="s">
        <v>759</v>
      </c>
      <c r="C243" t="s">
        <v>75</v>
      </c>
      <c r="D243" t="s">
        <v>760</v>
      </c>
      <c r="E243" t="s">
        <v>76</v>
      </c>
      <c r="F243" s="5" t="s">
        <v>599</v>
      </c>
      <c r="G243">
        <v>4</v>
      </c>
      <c r="U243">
        <v>11</v>
      </c>
      <c r="V243">
        <v>2</v>
      </c>
      <c r="Y243">
        <v>12</v>
      </c>
      <c r="Z243">
        <f t="shared" si="9"/>
        <v>13</v>
      </c>
      <c r="AA243" t="s">
        <v>891</v>
      </c>
    </row>
    <row r="244" spans="2:27" x14ac:dyDescent="0.25">
      <c r="B244" t="s">
        <v>761</v>
      </c>
      <c r="C244" t="s">
        <v>51</v>
      </c>
      <c r="D244" t="s">
        <v>762</v>
      </c>
      <c r="E244" t="s">
        <v>53</v>
      </c>
      <c r="F244" s="5" t="s">
        <v>763</v>
      </c>
      <c r="G244">
        <v>2</v>
      </c>
      <c r="H244">
        <v>2</v>
      </c>
      <c r="U244">
        <v>5</v>
      </c>
      <c r="W244">
        <v>5</v>
      </c>
      <c r="Y244">
        <v>12</v>
      </c>
      <c r="Z244">
        <f t="shared" si="9"/>
        <v>10</v>
      </c>
      <c r="AA244" t="s">
        <v>887</v>
      </c>
    </row>
    <row r="245" spans="2:27" x14ac:dyDescent="0.25">
      <c r="B245" t="s">
        <v>764</v>
      </c>
      <c r="C245" t="s">
        <v>51</v>
      </c>
      <c r="D245" t="s">
        <v>765</v>
      </c>
      <c r="E245" t="s">
        <v>53</v>
      </c>
      <c r="F245" s="5" t="s">
        <v>766</v>
      </c>
      <c r="G245">
        <v>4</v>
      </c>
      <c r="H245">
        <v>16</v>
      </c>
      <c r="U245">
        <v>25</v>
      </c>
      <c r="V245">
        <v>11</v>
      </c>
      <c r="Y245">
        <v>12</v>
      </c>
      <c r="Z245">
        <f t="shared" si="9"/>
        <v>36</v>
      </c>
      <c r="AA245" t="s">
        <v>878</v>
      </c>
    </row>
    <row r="246" spans="2:27" x14ac:dyDescent="0.25">
      <c r="B246" t="s">
        <v>767</v>
      </c>
      <c r="C246" t="s">
        <v>84</v>
      </c>
      <c r="D246" t="s">
        <v>768</v>
      </c>
      <c r="E246" t="s">
        <v>53</v>
      </c>
      <c r="F246" s="5">
        <v>46572</v>
      </c>
      <c r="G246">
        <v>3</v>
      </c>
      <c r="H246">
        <v>3</v>
      </c>
      <c r="U246">
        <v>4</v>
      </c>
      <c r="W246">
        <v>4</v>
      </c>
      <c r="Y246">
        <v>12</v>
      </c>
      <c r="Z246">
        <f t="shared" si="9"/>
        <v>8</v>
      </c>
      <c r="AA246" t="s">
        <v>897</v>
      </c>
    </row>
    <row r="247" spans="2:27" x14ac:dyDescent="0.25">
      <c r="B247" t="s">
        <v>769</v>
      </c>
      <c r="C247" t="s">
        <v>75</v>
      </c>
      <c r="D247" t="s">
        <v>770</v>
      </c>
      <c r="E247" t="s">
        <v>76</v>
      </c>
      <c r="F247" s="5" t="s">
        <v>92</v>
      </c>
      <c r="G247">
        <v>7</v>
      </c>
      <c r="H247">
        <v>71</v>
      </c>
      <c r="U247">
        <v>65</v>
      </c>
      <c r="V247">
        <v>26</v>
      </c>
      <c r="W247">
        <v>4</v>
      </c>
      <c r="X247">
        <v>2</v>
      </c>
      <c r="Y247">
        <v>21</v>
      </c>
      <c r="Z247">
        <f t="shared" si="9"/>
        <v>97</v>
      </c>
      <c r="AA247" t="s">
        <v>888</v>
      </c>
    </row>
    <row r="248" spans="2:27" x14ac:dyDescent="0.25">
      <c r="B248" t="s">
        <v>771</v>
      </c>
      <c r="C248" t="s">
        <v>84</v>
      </c>
      <c r="D248" t="s">
        <v>772</v>
      </c>
      <c r="E248" t="s">
        <v>53</v>
      </c>
      <c r="F248" s="5" t="s">
        <v>773</v>
      </c>
      <c r="G248">
        <v>3</v>
      </c>
      <c r="H248">
        <v>3</v>
      </c>
      <c r="U248">
        <v>10</v>
      </c>
      <c r="V248">
        <v>2</v>
      </c>
      <c r="W248">
        <v>1</v>
      </c>
      <c r="Y248">
        <v>12</v>
      </c>
      <c r="Z248">
        <f t="shared" si="9"/>
        <v>13</v>
      </c>
      <c r="AA248" t="s">
        <v>903</v>
      </c>
    </row>
    <row r="249" spans="2:27" x14ac:dyDescent="0.25">
      <c r="B249" t="s">
        <v>774</v>
      </c>
      <c r="C249" t="s">
        <v>84</v>
      </c>
      <c r="D249" t="s">
        <v>775</v>
      </c>
      <c r="E249" t="s">
        <v>53</v>
      </c>
      <c r="F249" s="5" t="s">
        <v>776</v>
      </c>
      <c r="G249">
        <v>3</v>
      </c>
      <c r="H249">
        <v>3</v>
      </c>
      <c r="U249">
        <v>5</v>
      </c>
      <c r="V249">
        <v>1</v>
      </c>
      <c r="W249">
        <v>1</v>
      </c>
      <c r="X249">
        <v>1</v>
      </c>
      <c r="Y249">
        <v>12</v>
      </c>
      <c r="Z249">
        <f t="shared" si="9"/>
        <v>8</v>
      </c>
      <c r="AA249" t="s">
        <v>895</v>
      </c>
    </row>
    <row r="250" spans="2:27" x14ac:dyDescent="0.25">
      <c r="B250" t="s">
        <v>777</v>
      </c>
      <c r="C250" t="s">
        <v>84</v>
      </c>
      <c r="D250" t="s">
        <v>778</v>
      </c>
      <c r="E250" t="s">
        <v>53</v>
      </c>
      <c r="F250" s="5" t="s">
        <v>773</v>
      </c>
      <c r="G250">
        <v>3</v>
      </c>
      <c r="H250">
        <v>3</v>
      </c>
      <c r="U250">
        <v>1</v>
      </c>
      <c r="V250">
        <v>0</v>
      </c>
      <c r="W250">
        <v>1</v>
      </c>
      <c r="Y250">
        <v>12</v>
      </c>
      <c r="Z250">
        <f t="shared" si="9"/>
        <v>2</v>
      </c>
      <c r="AA250" t="s">
        <v>911</v>
      </c>
    </row>
    <row r="251" spans="2:27" x14ac:dyDescent="0.25">
      <c r="B251" t="s">
        <v>779</v>
      </c>
      <c r="C251" t="s">
        <v>84</v>
      </c>
      <c r="D251" t="s">
        <v>780</v>
      </c>
      <c r="E251" t="s">
        <v>53</v>
      </c>
      <c r="F251" s="5">
        <v>46693</v>
      </c>
      <c r="G251">
        <v>3</v>
      </c>
      <c r="H251">
        <v>3</v>
      </c>
      <c r="U251">
        <v>4</v>
      </c>
      <c r="W251">
        <v>4</v>
      </c>
      <c r="Y251">
        <v>12</v>
      </c>
      <c r="Z251">
        <f t="shared" si="9"/>
        <v>8</v>
      </c>
      <c r="AA251" t="s">
        <v>887</v>
      </c>
    </row>
    <row r="252" spans="2:27" x14ac:dyDescent="0.25">
      <c r="B252" t="s">
        <v>781</v>
      </c>
      <c r="C252" t="s">
        <v>75</v>
      </c>
      <c r="D252" t="s">
        <v>782</v>
      </c>
      <c r="E252" t="s">
        <v>76</v>
      </c>
      <c r="F252" s="5" t="s">
        <v>378</v>
      </c>
      <c r="G252">
        <v>2</v>
      </c>
      <c r="H252">
        <v>12</v>
      </c>
      <c r="U252">
        <v>50</v>
      </c>
      <c r="V252">
        <v>10</v>
      </c>
      <c r="Y252">
        <v>6</v>
      </c>
      <c r="Z252">
        <f t="shared" si="9"/>
        <v>60</v>
      </c>
      <c r="AA252" t="s">
        <v>932</v>
      </c>
    </row>
    <row r="253" spans="2:27" x14ac:dyDescent="0.25">
      <c r="B253" t="s">
        <v>783</v>
      </c>
      <c r="C253" t="s">
        <v>51</v>
      </c>
      <c r="D253" t="s">
        <v>784</v>
      </c>
      <c r="E253" t="s">
        <v>53</v>
      </c>
      <c r="F253" s="5" t="s">
        <v>72</v>
      </c>
      <c r="G253">
        <v>4</v>
      </c>
      <c r="H253">
        <v>56</v>
      </c>
      <c r="U253">
        <v>104</v>
      </c>
      <c r="V253">
        <v>16</v>
      </c>
      <c r="X253">
        <v>1</v>
      </c>
      <c r="Y253">
        <v>12</v>
      </c>
      <c r="Z253">
        <f t="shared" si="9"/>
        <v>121</v>
      </c>
      <c r="AA253" t="s">
        <v>898</v>
      </c>
    </row>
    <row r="254" spans="2:27" x14ac:dyDescent="0.25">
      <c r="B254" t="s">
        <v>785</v>
      </c>
      <c r="C254" t="s">
        <v>311</v>
      </c>
      <c r="D254" t="s">
        <v>786</v>
      </c>
      <c r="E254" t="s">
        <v>53</v>
      </c>
      <c r="F254" s="5">
        <v>46479</v>
      </c>
      <c r="G254">
        <v>3</v>
      </c>
      <c r="H254">
        <v>3</v>
      </c>
      <c r="U254">
        <v>4</v>
      </c>
      <c r="W254">
        <v>4</v>
      </c>
      <c r="Y254">
        <v>12</v>
      </c>
      <c r="Z254">
        <f t="shared" si="9"/>
        <v>8</v>
      </c>
      <c r="AA254" t="s">
        <v>899</v>
      </c>
    </row>
    <row r="255" spans="2:27" x14ac:dyDescent="0.25">
      <c r="B255" t="s">
        <v>787</v>
      </c>
      <c r="C255" t="s">
        <v>84</v>
      </c>
      <c r="D255" t="s">
        <v>788</v>
      </c>
      <c r="E255" t="s">
        <v>53</v>
      </c>
      <c r="F255" s="5">
        <v>46509</v>
      </c>
      <c r="G255">
        <v>3</v>
      </c>
      <c r="H255">
        <v>3</v>
      </c>
      <c r="U255">
        <v>3</v>
      </c>
      <c r="V255">
        <v>1</v>
      </c>
      <c r="Y255">
        <v>12</v>
      </c>
      <c r="Z255">
        <f t="shared" si="9"/>
        <v>4</v>
      </c>
      <c r="AA255" t="s">
        <v>880</v>
      </c>
    </row>
    <row r="256" spans="2:27" x14ac:dyDescent="0.25">
      <c r="B256" t="s">
        <v>789</v>
      </c>
      <c r="C256" t="s">
        <v>84</v>
      </c>
      <c r="D256" t="s">
        <v>790</v>
      </c>
      <c r="E256" t="s">
        <v>100</v>
      </c>
      <c r="F256" s="5">
        <v>46479</v>
      </c>
      <c r="G256">
        <v>3</v>
      </c>
      <c r="H256">
        <v>6</v>
      </c>
      <c r="U256">
        <v>32</v>
      </c>
      <c r="V256">
        <v>5</v>
      </c>
      <c r="W256">
        <v>5</v>
      </c>
      <c r="Y256">
        <v>12</v>
      </c>
      <c r="Z256">
        <f t="shared" si="9"/>
        <v>42</v>
      </c>
      <c r="AA256" t="s">
        <v>100</v>
      </c>
    </row>
    <row r="257" spans="2:27" x14ac:dyDescent="0.25">
      <c r="B257" t="s">
        <v>791</v>
      </c>
      <c r="C257" t="s">
        <v>75</v>
      </c>
      <c r="D257" t="s">
        <v>792</v>
      </c>
      <c r="E257" t="s">
        <v>76</v>
      </c>
      <c r="F257" s="5" t="s">
        <v>72</v>
      </c>
      <c r="G257">
        <v>4</v>
      </c>
      <c r="H257">
        <v>16</v>
      </c>
      <c r="U257">
        <v>8</v>
      </c>
      <c r="V257">
        <v>8</v>
      </c>
      <c r="Y257">
        <v>12</v>
      </c>
      <c r="Z257">
        <f t="shared" si="9"/>
        <v>16</v>
      </c>
      <c r="AA257" t="s">
        <v>933</v>
      </c>
    </row>
    <row r="258" spans="2:27" x14ac:dyDescent="0.25">
      <c r="B258" t="s">
        <v>793</v>
      </c>
      <c r="C258" t="s">
        <v>51</v>
      </c>
      <c r="D258" t="s">
        <v>794</v>
      </c>
      <c r="E258" t="s">
        <v>53</v>
      </c>
      <c r="F258" s="5">
        <v>46479</v>
      </c>
      <c r="G258">
        <v>4</v>
      </c>
      <c r="H258">
        <v>4</v>
      </c>
      <c r="U258">
        <v>26</v>
      </c>
      <c r="V258">
        <v>4</v>
      </c>
      <c r="W258">
        <v>10</v>
      </c>
      <c r="Y258">
        <v>12</v>
      </c>
      <c r="Z258">
        <f t="shared" si="9"/>
        <v>40</v>
      </c>
      <c r="AA258" t="s">
        <v>881</v>
      </c>
    </row>
    <row r="259" spans="2:27" x14ac:dyDescent="0.25">
      <c r="B259" t="s">
        <v>795</v>
      </c>
      <c r="C259" t="s">
        <v>84</v>
      </c>
      <c r="D259" t="s">
        <v>796</v>
      </c>
      <c r="E259" t="s">
        <v>53</v>
      </c>
      <c r="F259" s="5" t="s">
        <v>797</v>
      </c>
      <c r="G259">
        <v>3</v>
      </c>
      <c r="H259">
        <v>3</v>
      </c>
      <c r="U259">
        <v>4</v>
      </c>
      <c r="W259">
        <v>4</v>
      </c>
      <c r="Y259">
        <v>12</v>
      </c>
      <c r="Z259">
        <f t="shared" ref="Z259:Z299" si="10">SUM(U259:X259)</f>
        <v>8</v>
      </c>
      <c r="AA259" t="s">
        <v>897</v>
      </c>
    </row>
    <row r="260" spans="2:27" x14ac:dyDescent="0.25">
      <c r="B260" t="s">
        <v>798</v>
      </c>
      <c r="C260" t="s">
        <v>311</v>
      </c>
      <c r="D260" t="s">
        <v>799</v>
      </c>
      <c r="E260" t="s">
        <v>53</v>
      </c>
      <c r="F260" s="5" t="s">
        <v>797</v>
      </c>
      <c r="G260">
        <v>3</v>
      </c>
      <c r="H260">
        <v>3</v>
      </c>
      <c r="U260">
        <v>9</v>
      </c>
      <c r="V260">
        <v>1</v>
      </c>
      <c r="W260">
        <v>1</v>
      </c>
      <c r="X260">
        <v>1</v>
      </c>
      <c r="Y260">
        <v>12</v>
      </c>
      <c r="Z260">
        <f t="shared" si="10"/>
        <v>12</v>
      </c>
      <c r="AA260" t="s">
        <v>895</v>
      </c>
    </row>
    <row r="261" spans="2:27" x14ac:dyDescent="0.25">
      <c r="B261" t="s">
        <v>800</v>
      </c>
      <c r="C261" t="s">
        <v>75</v>
      </c>
      <c r="D261" t="s">
        <v>801</v>
      </c>
      <c r="E261" t="s">
        <v>76</v>
      </c>
      <c r="F261" s="5">
        <v>46388</v>
      </c>
      <c r="G261">
        <v>4</v>
      </c>
      <c r="H261">
        <v>4</v>
      </c>
      <c r="U261">
        <v>4</v>
      </c>
      <c r="V261">
        <v>2</v>
      </c>
      <c r="X261">
        <v>1</v>
      </c>
      <c r="Y261">
        <v>12</v>
      </c>
      <c r="Z261">
        <f t="shared" si="10"/>
        <v>7</v>
      </c>
      <c r="AA261" t="s">
        <v>909</v>
      </c>
    </row>
    <row r="262" spans="2:27" x14ac:dyDescent="0.25">
      <c r="B262" t="s">
        <v>802</v>
      </c>
      <c r="C262" t="s">
        <v>84</v>
      </c>
      <c r="D262" t="s">
        <v>803</v>
      </c>
      <c r="E262" t="s">
        <v>53</v>
      </c>
      <c r="F262" s="5">
        <v>46693</v>
      </c>
      <c r="G262">
        <v>3</v>
      </c>
      <c r="H262">
        <v>3</v>
      </c>
      <c r="U262">
        <v>5</v>
      </c>
      <c r="V262">
        <v>1</v>
      </c>
      <c r="W262">
        <v>1</v>
      </c>
      <c r="X262">
        <v>1</v>
      </c>
      <c r="Y262">
        <v>12</v>
      </c>
      <c r="Z262">
        <f t="shared" si="10"/>
        <v>8</v>
      </c>
      <c r="AA262" t="s">
        <v>895</v>
      </c>
    </row>
    <row r="263" spans="2:27" x14ac:dyDescent="0.25">
      <c r="B263" t="s">
        <v>804</v>
      </c>
      <c r="C263" t="s">
        <v>84</v>
      </c>
      <c r="D263" t="s">
        <v>805</v>
      </c>
      <c r="E263" t="s">
        <v>53</v>
      </c>
      <c r="F263" s="5">
        <v>46723</v>
      </c>
      <c r="G263">
        <v>3</v>
      </c>
      <c r="H263">
        <v>3</v>
      </c>
      <c r="U263">
        <v>8</v>
      </c>
      <c r="V263">
        <v>1</v>
      </c>
      <c r="W263">
        <v>1</v>
      </c>
      <c r="X263">
        <v>1</v>
      </c>
      <c r="Y263">
        <v>12</v>
      </c>
      <c r="Z263">
        <f t="shared" si="10"/>
        <v>11</v>
      </c>
      <c r="AA263" t="s">
        <v>895</v>
      </c>
    </row>
    <row r="264" spans="2:27" x14ac:dyDescent="0.25">
      <c r="B264" t="s">
        <v>806</v>
      </c>
      <c r="C264" t="s">
        <v>84</v>
      </c>
      <c r="D264" t="s">
        <v>807</v>
      </c>
      <c r="E264" t="s">
        <v>53</v>
      </c>
      <c r="F264" s="5" t="s">
        <v>808</v>
      </c>
      <c r="G264">
        <v>3</v>
      </c>
      <c r="H264">
        <v>3</v>
      </c>
      <c r="U264">
        <v>5</v>
      </c>
      <c r="W264">
        <v>4</v>
      </c>
      <c r="Y264">
        <v>12</v>
      </c>
      <c r="Z264">
        <f t="shared" si="10"/>
        <v>9</v>
      </c>
      <c r="AA264" t="s">
        <v>887</v>
      </c>
    </row>
    <row r="265" spans="2:27" x14ac:dyDescent="0.25">
      <c r="B265" t="s">
        <v>809</v>
      </c>
      <c r="C265" t="s">
        <v>84</v>
      </c>
      <c r="D265" t="s">
        <v>810</v>
      </c>
      <c r="E265" t="s">
        <v>53</v>
      </c>
      <c r="F265" s="5" t="s">
        <v>811</v>
      </c>
      <c r="G265">
        <v>3</v>
      </c>
      <c r="H265">
        <v>3</v>
      </c>
      <c r="U265">
        <v>8</v>
      </c>
      <c r="V265">
        <v>1</v>
      </c>
      <c r="W265">
        <v>1</v>
      </c>
      <c r="X265">
        <v>1</v>
      </c>
      <c r="Y265">
        <v>12</v>
      </c>
      <c r="Z265">
        <f t="shared" si="10"/>
        <v>11</v>
      </c>
      <c r="AA265" t="s">
        <v>895</v>
      </c>
    </row>
    <row r="266" spans="2:27" x14ac:dyDescent="0.25">
      <c r="B266" t="s">
        <v>812</v>
      </c>
      <c r="C266" t="s">
        <v>311</v>
      </c>
      <c r="D266" t="s">
        <v>813</v>
      </c>
      <c r="E266" t="s">
        <v>53</v>
      </c>
      <c r="F266" s="5" t="s">
        <v>814</v>
      </c>
      <c r="G266">
        <v>3</v>
      </c>
      <c r="H266">
        <v>3</v>
      </c>
      <c r="U266">
        <v>4</v>
      </c>
      <c r="W266">
        <v>4</v>
      </c>
      <c r="Y266">
        <v>12</v>
      </c>
      <c r="Z266">
        <f t="shared" si="10"/>
        <v>8</v>
      </c>
      <c r="AA266" t="s">
        <v>899</v>
      </c>
    </row>
    <row r="267" spans="2:27" x14ac:dyDescent="0.25">
      <c r="B267" t="s">
        <v>815</v>
      </c>
      <c r="C267" t="s">
        <v>84</v>
      </c>
      <c r="D267" t="s">
        <v>816</v>
      </c>
      <c r="E267" t="s">
        <v>53</v>
      </c>
      <c r="F267" s="5" t="s">
        <v>817</v>
      </c>
      <c r="G267">
        <v>3</v>
      </c>
      <c r="H267">
        <v>3</v>
      </c>
      <c r="U267">
        <v>8</v>
      </c>
      <c r="V267">
        <v>1</v>
      </c>
      <c r="W267">
        <v>1</v>
      </c>
      <c r="X267">
        <v>1</v>
      </c>
      <c r="Y267">
        <v>12</v>
      </c>
      <c r="Z267">
        <f t="shared" si="10"/>
        <v>11</v>
      </c>
      <c r="AA267" t="s">
        <v>895</v>
      </c>
    </row>
    <row r="268" spans="2:27" x14ac:dyDescent="0.25">
      <c r="B268" t="s">
        <v>818</v>
      </c>
      <c r="C268" t="s">
        <v>84</v>
      </c>
      <c r="D268" t="s">
        <v>819</v>
      </c>
      <c r="E268" t="s">
        <v>53</v>
      </c>
      <c r="F268" s="5" t="s">
        <v>820</v>
      </c>
      <c r="G268">
        <v>3</v>
      </c>
      <c r="H268">
        <v>3</v>
      </c>
      <c r="U268">
        <v>9</v>
      </c>
      <c r="V268">
        <v>1</v>
      </c>
      <c r="W268">
        <v>1</v>
      </c>
      <c r="X268">
        <v>1</v>
      </c>
      <c r="Y268">
        <v>12</v>
      </c>
      <c r="Z268">
        <f t="shared" si="10"/>
        <v>12</v>
      </c>
      <c r="AA268" t="s">
        <v>895</v>
      </c>
    </row>
    <row r="269" spans="2:27" x14ac:dyDescent="0.25">
      <c r="B269" t="s">
        <v>821</v>
      </c>
      <c r="C269" t="s">
        <v>84</v>
      </c>
      <c r="D269" t="s">
        <v>822</v>
      </c>
      <c r="E269" t="s">
        <v>53</v>
      </c>
      <c r="F269" s="5">
        <v>46390</v>
      </c>
      <c r="G269">
        <v>3</v>
      </c>
      <c r="H269">
        <v>3</v>
      </c>
      <c r="U269">
        <v>5</v>
      </c>
      <c r="V269">
        <v>1</v>
      </c>
      <c r="X269">
        <v>1</v>
      </c>
      <c r="Y269">
        <v>12</v>
      </c>
      <c r="Z269">
        <f t="shared" si="10"/>
        <v>7</v>
      </c>
      <c r="AA269" t="s">
        <v>895</v>
      </c>
    </row>
    <row r="270" spans="2:27" x14ac:dyDescent="0.25">
      <c r="B270" t="s">
        <v>823</v>
      </c>
      <c r="C270" t="s">
        <v>51</v>
      </c>
      <c r="D270" t="s">
        <v>824</v>
      </c>
      <c r="E270" t="s">
        <v>53</v>
      </c>
      <c r="F270" s="5">
        <v>46390</v>
      </c>
      <c r="G270">
        <v>4</v>
      </c>
      <c r="H270">
        <v>5</v>
      </c>
      <c r="U270">
        <v>7</v>
      </c>
      <c r="W270">
        <v>7</v>
      </c>
      <c r="Y270">
        <v>12</v>
      </c>
      <c r="Z270">
        <f t="shared" si="10"/>
        <v>14</v>
      </c>
      <c r="AA270" t="s">
        <v>898</v>
      </c>
    </row>
    <row r="271" spans="2:27" x14ac:dyDescent="0.25">
      <c r="B271" t="s">
        <v>825</v>
      </c>
      <c r="C271" t="s">
        <v>84</v>
      </c>
      <c r="D271" t="s">
        <v>826</v>
      </c>
      <c r="E271" t="s">
        <v>53</v>
      </c>
      <c r="F271" s="5">
        <v>46449</v>
      </c>
      <c r="G271">
        <v>3</v>
      </c>
      <c r="H271">
        <v>1</v>
      </c>
      <c r="U271">
        <v>5</v>
      </c>
      <c r="Y271">
        <v>12</v>
      </c>
      <c r="Z271">
        <f t="shared" si="10"/>
        <v>5</v>
      </c>
    </row>
    <row r="272" spans="2:27" x14ac:dyDescent="0.25">
      <c r="B272" t="s">
        <v>827</v>
      </c>
      <c r="C272" t="s">
        <v>51</v>
      </c>
      <c r="D272" t="s">
        <v>828</v>
      </c>
      <c r="E272" t="s">
        <v>53</v>
      </c>
      <c r="F272" s="5">
        <v>46389</v>
      </c>
      <c r="G272">
        <v>4</v>
      </c>
      <c r="H272">
        <v>20</v>
      </c>
      <c r="U272">
        <v>26</v>
      </c>
      <c r="V272">
        <v>6</v>
      </c>
      <c r="X272">
        <v>1</v>
      </c>
      <c r="Y272">
        <v>24</v>
      </c>
      <c r="Z272">
        <f t="shared" si="10"/>
        <v>33</v>
      </c>
      <c r="AA272" t="s">
        <v>934</v>
      </c>
    </row>
    <row r="273" spans="2:27" x14ac:dyDescent="0.25">
      <c r="B273" t="s">
        <v>829</v>
      </c>
      <c r="C273" t="s">
        <v>51</v>
      </c>
      <c r="D273" t="s">
        <v>830</v>
      </c>
      <c r="E273" t="s">
        <v>53</v>
      </c>
      <c r="F273" s="5">
        <v>46389</v>
      </c>
      <c r="G273">
        <v>2</v>
      </c>
      <c r="H273">
        <v>14</v>
      </c>
      <c r="U273">
        <v>112</v>
      </c>
      <c r="V273">
        <v>12</v>
      </c>
      <c r="Y273">
        <v>12</v>
      </c>
      <c r="Z273">
        <f t="shared" si="10"/>
        <v>124</v>
      </c>
      <c r="AA273" t="s">
        <v>926</v>
      </c>
    </row>
    <row r="274" spans="2:27" x14ac:dyDescent="0.25">
      <c r="B274" t="s">
        <v>831</v>
      </c>
      <c r="C274" t="s">
        <v>51</v>
      </c>
      <c r="D274" t="s">
        <v>832</v>
      </c>
      <c r="E274" t="s">
        <v>53</v>
      </c>
      <c r="F274" s="5">
        <v>46389</v>
      </c>
      <c r="G274">
        <v>1</v>
      </c>
      <c r="H274">
        <v>7</v>
      </c>
      <c r="U274">
        <v>78</v>
      </c>
      <c r="V274">
        <v>27</v>
      </c>
      <c r="W274">
        <v>5</v>
      </c>
      <c r="X274">
        <v>3</v>
      </c>
      <c r="Y274">
        <v>12</v>
      </c>
      <c r="Z274">
        <f t="shared" si="10"/>
        <v>113</v>
      </c>
      <c r="AA274" t="s">
        <v>884</v>
      </c>
    </row>
    <row r="275" spans="2:27" x14ac:dyDescent="0.25">
      <c r="B275" t="s">
        <v>833</v>
      </c>
      <c r="C275" t="s">
        <v>75</v>
      </c>
      <c r="D275" t="s">
        <v>834</v>
      </c>
      <c r="E275" t="s">
        <v>76</v>
      </c>
      <c r="F275" s="5">
        <v>46389</v>
      </c>
      <c r="G275">
        <v>3</v>
      </c>
      <c r="H275">
        <v>24</v>
      </c>
      <c r="U275">
        <v>158</v>
      </c>
      <c r="V275">
        <v>55</v>
      </c>
      <c r="X275">
        <v>1</v>
      </c>
      <c r="Y275">
        <v>12</v>
      </c>
      <c r="Z275">
        <f t="shared" si="10"/>
        <v>214</v>
      </c>
      <c r="AA275" t="s">
        <v>909</v>
      </c>
    </row>
    <row r="276" spans="2:27" x14ac:dyDescent="0.25">
      <c r="B276" t="s">
        <v>835</v>
      </c>
      <c r="C276" t="s">
        <v>51</v>
      </c>
      <c r="D276" t="s">
        <v>836</v>
      </c>
      <c r="E276" t="s">
        <v>53</v>
      </c>
      <c r="F276" s="5">
        <v>46663</v>
      </c>
      <c r="G276">
        <v>3</v>
      </c>
      <c r="H276">
        <v>9</v>
      </c>
      <c r="U276">
        <v>53</v>
      </c>
      <c r="V276">
        <v>12</v>
      </c>
      <c r="W276">
        <v>167</v>
      </c>
      <c r="Y276">
        <v>12</v>
      </c>
      <c r="Z276">
        <f t="shared" si="10"/>
        <v>232</v>
      </c>
      <c r="AA276" t="s">
        <v>903</v>
      </c>
    </row>
    <row r="277" spans="2:27" x14ac:dyDescent="0.25">
      <c r="B277" t="s">
        <v>837</v>
      </c>
      <c r="C277" t="s">
        <v>51</v>
      </c>
      <c r="D277" t="s">
        <v>838</v>
      </c>
      <c r="E277" t="s">
        <v>53</v>
      </c>
      <c r="F277" s="5">
        <v>46389</v>
      </c>
      <c r="G277">
        <v>2</v>
      </c>
      <c r="H277">
        <v>4</v>
      </c>
      <c r="U277">
        <v>7</v>
      </c>
      <c r="V277">
        <v>10</v>
      </c>
      <c r="X277">
        <v>6</v>
      </c>
      <c r="Y277">
        <v>12</v>
      </c>
      <c r="Z277">
        <f t="shared" si="10"/>
        <v>23</v>
      </c>
      <c r="AA277" t="s">
        <v>920</v>
      </c>
    </row>
    <row r="278" spans="2:27" x14ac:dyDescent="0.25">
      <c r="B278" t="s">
        <v>839</v>
      </c>
      <c r="C278" t="s">
        <v>51</v>
      </c>
      <c r="D278" t="s">
        <v>840</v>
      </c>
      <c r="E278" t="s">
        <v>53</v>
      </c>
      <c r="F278" s="5">
        <v>46602</v>
      </c>
      <c r="G278">
        <v>3</v>
      </c>
      <c r="H278">
        <v>24</v>
      </c>
      <c r="U278">
        <v>157</v>
      </c>
      <c r="V278">
        <v>56</v>
      </c>
      <c r="W278">
        <v>34</v>
      </c>
      <c r="X278">
        <v>1</v>
      </c>
      <c r="Y278">
        <v>12</v>
      </c>
      <c r="Z278">
        <f t="shared" si="10"/>
        <v>248</v>
      </c>
      <c r="AA278" t="s">
        <v>920</v>
      </c>
    </row>
    <row r="279" spans="2:27" x14ac:dyDescent="0.25">
      <c r="B279" t="s">
        <v>841</v>
      </c>
      <c r="C279" t="s">
        <v>84</v>
      </c>
      <c r="D279" t="s">
        <v>842</v>
      </c>
      <c r="E279" t="s">
        <v>53</v>
      </c>
      <c r="F279" s="5">
        <v>46602</v>
      </c>
      <c r="G279">
        <v>4</v>
      </c>
      <c r="H279">
        <v>4</v>
      </c>
      <c r="U279">
        <v>14</v>
      </c>
      <c r="V279">
        <v>5</v>
      </c>
      <c r="Y279">
        <v>12</v>
      </c>
      <c r="Z279">
        <f t="shared" si="10"/>
        <v>19</v>
      </c>
      <c r="AA279" t="s">
        <v>935</v>
      </c>
    </row>
    <row r="280" spans="2:27" x14ac:dyDescent="0.25">
      <c r="B280" t="s">
        <v>843</v>
      </c>
      <c r="C280" t="s">
        <v>51</v>
      </c>
      <c r="D280" t="s">
        <v>844</v>
      </c>
      <c r="E280" t="s">
        <v>53</v>
      </c>
      <c r="F280" s="5">
        <v>46390</v>
      </c>
      <c r="G280">
        <v>3</v>
      </c>
      <c r="H280">
        <v>24</v>
      </c>
      <c r="U280">
        <v>128</v>
      </c>
      <c r="V280">
        <v>54</v>
      </c>
      <c r="W280">
        <v>2</v>
      </c>
      <c r="X280">
        <v>1</v>
      </c>
      <c r="Y280">
        <v>12</v>
      </c>
      <c r="Z280">
        <f t="shared" si="10"/>
        <v>185</v>
      </c>
      <c r="AA280" t="s">
        <v>919</v>
      </c>
    </row>
    <row r="281" spans="2:27" x14ac:dyDescent="0.25">
      <c r="B281" t="s">
        <v>845</v>
      </c>
      <c r="C281" t="s">
        <v>84</v>
      </c>
      <c r="D281" t="s">
        <v>846</v>
      </c>
      <c r="E281" t="s">
        <v>53</v>
      </c>
      <c r="G281">
        <v>3</v>
      </c>
      <c r="H281">
        <v>3</v>
      </c>
      <c r="U281">
        <v>8</v>
      </c>
      <c r="V281">
        <v>1</v>
      </c>
      <c r="W281">
        <v>1</v>
      </c>
      <c r="X281">
        <v>1</v>
      </c>
      <c r="Y281">
        <v>12</v>
      </c>
      <c r="Z281">
        <f t="shared" si="10"/>
        <v>11</v>
      </c>
      <c r="AA281" t="s">
        <v>895</v>
      </c>
    </row>
    <row r="282" spans="2:27" x14ac:dyDescent="0.25">
      <c r="B282" t="s">
        <v>847</v>
      </c>
      <c r="C282" t="s">
        <v>84</v>
      </c>
      <c r="D282" t="s">
        <v>848</v>
      </c>
      <c r="E282" t="s">
        <v>53</v>
      </c>
      <c r="G282">
        <v>3</v>
      </c>
      <c r="H282">
        <v>3</v>
      </c>
      <c r="U282">
        <v>5</v>
      </c>
      <c r="W282">
        <v>5</v>
      </c>
      <c r="Y282">
        <v>12</v>
      </c>
      <c r="Z282">
        <f t="shared" si="10"/>
        <v>10</v>
      </c>
      <c r="AA282" t="s">
        <v>917</v>
      </c>
    </row>
    <row r="283" spans="2:27" x14ac:dyDescent="0.25">
      <c r="B283" t="s">
        <v>849</v>
      </c>
      <c r="C283" t="s">
        <v>51</v>
      </c>
      <c r="D283" t="s">
        <v>850</v>
      </c>
      <c r="E283" t="s">
        <v>53</v>
      </c>
      <c r="F283" s="5" t="s">
        <v>808</v>
      </c>
      <c r="G283">
        <v>1</v>
      </c>
      <c r="H283">
        <v>16</v>
      </c>
      <c r="U283">
        <v>12</v>
      </c>
      <c r="V283">
        <v>6</v>
      </c>
      <c r="W283">
        <v>193</v>
      </c>
      <c r="X283">
        <v>12</v>
      </c>
      <c r="Y283">
        <v>12</v>
      </c>
      <c r="Z283">
        <f t="shared" si="10"/>
        <v>223</v>
      </c>
      <c r="AA283" t="s">
        <v>890</v>
      </c>
    </row>
    <row r="284" spans="2:27" x14ac:dyDescent="0.25">
      <c r="B284" t="s">
        <v>851</v>
      </c>
      <c r="C284" t="s">
        <v>84</v>
      </c>
      <c r="D284" t="s">
        <v>852</v>
      </c>
      <c r="E284" t="s">
        <v>53</v>
      </c>
      <c r="F284" s="5" t="s">
        <v>853</v>
      </c>
      <c r="G284">
        <v>3</v>
      </c>
      <c r="H284">
        <v>3</v>
      </c>
      <c r="U284">
        <v>5</v>
      </c>
      <c r="V284">
        <v>1</v>
      </c>
      <c r="X284">
        <v>1</v>
      </c>
      <c r="Y284">
        <v>12</v>
      </c>
      <c r="Z284">
        <f t="shared" si="10"/>
        <v>7</v>
      </c>
      <c r="AA284" t="s">
        <v>895</v>
      </c>
    </row>
    <row r="285" spans="2:27" x14ac:dyDescent="0.25">
      <c r="B285" t="s">
        <v>307</v>
      </c>
      <c r="C285" t="s">
        <v>51</v>
      </c>
      <c r="F285" s="5">
        <v>46391</v>
      </c>
      <c r="V285">
        <v>22</v>
      </c>
      <c r="W285">
        <v>2</v>
      </c>
      <c r="X285">
        <v>2</v>
      </c>
      <c r="Z285">
        <f t="shared" si="10"/>
        <v>26</v>
      </c>
    </row>
    <row r="286" spans="2:27" x14ac:dyDescent="0.25">
      <c r="B286" t="s">
        <v>308</v>
      </c>
      <c r="C286" t="s">
        <v>311</v>
      </c>
      <c r="U286">
        <v>5</v>
      </c>
      <c r="W286">
        <v>5</v>
      </c>
      <c r="Z286">
        <f t="shared" si="10"/>
        <v>10</v>
      </c>
    </row>
    <row r="287" spans="2:27" x14ac:dyDescent="0.25">
      <c r="B287" t="s">
        <v>854</v>
      </c>
      <c r="C287" t="s">
        <v>51</v>
      </c>
      <c r="D287" t="s">
        <v>855</v>
      </c>
      <c r="E287" t="s">
        <v>53</v>
      </c>
      <c r="F287" s="5" t="s">
        <v>811</v>
      </c>
      <c r="G287">
        <v>4</v>
      </c>
      <c r="H287">
        <v>6</v>
      </c>
      <c r="U287">
        <v>16</v>
      </c>
      <c r="V287">
        <v>7</v>
      </c>
      <c r="X287">
        <v>2</v>
      </c>
      <c r="Y287">
        <v>12</v>
      </c>
      <c r="Z287">
        <f t="shared" si="10"/>
        <v>25</v>
      </c>
      <c r="AA287" t="s">
        <v>936</v>
      </c>
    </row>
    <row r="288" spans="2:27" x14ac:dyDescent="0.25">
      <c r="B288" t="s">
        <v>856</v>
      </c>
      <c r="C288" t="s">
        <v>84</v>
      </c>
      <c r="D288" t="s">
        <v>857</v>
      </c>
      <c r="E288" t="s">
        <v>53</v>
      </c>
      <c r="G288">
        <v>3</v>
      </c>
      <c r="H288">
        <v>3</v>
      </c>
      <c r="U288">
        <v>5</v>
      </c>
      <c r="V288">
        <v>1</v>
      </c>
      <c r="W288">
        <v>1</v>
      </c>
      <c r="X288">
        <v>1</v>
      </c>
      <c r="Y288">
        <v>12</v>
      </c>
      <c r="Z288">
        <f t="shared" si="10"/>
        <v>8</v>
      </c>
    </row>
    <row r="289" spans="2:27" x14ac:dyDescent="0.25">
      <c r="B289" t="s">
        <v>309</v>
      </c>
      <c r="C289" t="s">
        <v>51</v>
      </c>
      <c r="F289" s="5">
        <v>46509</v>
      </c>
      <c r="U289">
        <v>147</v>
      </c>
      <c r="V289">
        <v>35</v>
      </c>
      <c r="Z289">
        <f t="shared" si="10"/>
        <v>182</v>
      </c>
    </row>
    <row r="290" spans="2:27" x14ac:dyDescent="0.25">
      <c r="B290" t="s">
        <v>858</v>
      </c>
      <c r="C290" t="s">
        <v>84</v>
      </c>
      <c r="D290" t="s">
        <v>859</v>
      </c>
      <c r="E290" t="s">
        <v>53</v>
      </c>
      <c r="F290" s="5" t="s">
        <v>860</v>
      </c>
      <c r="G290">
        <v>3</v>
      </c>
      <c r="H290">
        <v>3</v>
      </c>
      <c r="U290">
        <v>5</v>
      </c>
      <c r="V290">
        <v>1</v>
      </c>
      <c r="Y290">
        <v>12</v>
      </c>
      <c r="Z290">
        <f t="shared" si="10"/>
        <v>6</v>
      </c>
      <c r="AA290" t="s">
        <v>895</v>
      </c>
    </row>
    <row r="291" spans="2:27" x14ac:dyDescent="0.25">
      <c r="B291" t="s">
        <v>861</v>
      </c>
      <c r="C291" t="s">
        <v>84</v>
      </c>
      <c r="D291" t="s">
        <v>862</v>
      </c>
      <c r="E291" t="s">
        <v>53</v>
      </c>
      <c r="F291" s="5" t="s">
        <v>863</v>
      </c>
      <c r="G291">
        <v>3</v>
      </c>
      <c r="H291">
        <v>3</v>
      </c>
      <c r="U291">
        <v>8</v>
      </c>
      <c r="V291">
        <v>1</v>
      </c>
      <c r="W291">
        <v>1</v>
      </c>
      <c r="X291">
        <v>1</v>
      </c>
      <c r="Y291">
        <v>12</v>
      </c>
      <c r="Z291">
        <f t="shared" si="10"/>
        <v>11</v>
      </c>
      <c r="AA291" t="s">
        <v>895</v>
      </c>
    </row>
    <row r="292" spans="2:27" x14ac:dyDescent="0.25">
      <c r="B292" t="s">
        <v>864</v>
      </c>
      <c r="C292" t="s">
        <v>75</v>
      </c>
      <c r="D292" t="s">
        <v>865</v>
      </c>
      <c r="E292" t="s">
        <v>53</v>
      </c>
      <c r="F292" s="5">
        <v>46389</v>
      </c>
      <c r="G292">
        <v>4</v>
      </c>
      <c r="H292">
        <v>20</v>
      </c>
      <c r="U292">
        <v>95</v>
      </c>
      <c r="V292">
        <v>13</v>
      </c>
      <c r="Y292">
        <v>36</v>
      </c>
      <c r="Z292">
        <f t="shared" si="10"/>
        <v>108</v>
      </c>
      <c r="AA292" t="s">
        <v>937</v>
      </c>
    </row>
    <row r="293" spans="2:27" x14ac:dyDescent="0.25">
      <c r="B293" t="s">
        <v>866</v>
      </c>
      <c r="C293" t="s">
        <v>84</v>
      </c>
      <c r="D293" t="s">
        <v>867</v>
      </c>
      <c r="E293" t="s">
        <v>53</v>
      </c>
      <c r="F293" s="5">
        <v>46694</v>
      </c>
      <c r="G293">
        <v>3</v>
      </c>
      <c r="H293">
        <v>3</v>
      </c>
      <c r="U293">
        <v>8</v>
      </c>
      <c r="V293">
        <v>1</v>
      </c>
      <c r="W293">
        <v>1</v>
      </c>
      <c r="X293">
        <v>1</v>
      </c>
      <c r="Y293">
        <v>12</v>
      </c>
      <c r="Z293">
        <f t="shared" si="10"/>
        <v>11</v>
      </c>
      <c r="AA293" t="s">
        <v>895</v>
      </c>
    </row>
    <row r="294" spans="2:27" x14ac:dyDescent="0.25">
      <c r="B294" t="s">
        <v>417</v>
      </c>
      <c r="C294" t="s">
        <v>51</v>
      </c>
      <c r="D294" t="s">
        <v>418</v>
      </c>
      <c r="E294" t="s">
        <v>53</v>
      </c>
      <c r="F294" s="5" t="s">
        <v>811</v>
      </c>
      <c r="G294">
        <v>4</v>
      </c>
      <c r="H294">
        <v>36</v>
      </c>
      <c r="U294">
        <v>17</v>
      </c>
      <c r="V294">
        <v>49</v>
      </c>
      <c r="X294">
        <v>47</v>
      </c>
      <c r="Y294">
        <v>12</v>
      </c>
      <c r="Z294">
        <f t="shared" si="10"/>
        <v>113</v>
      </c>
      <c r="AA294" t="s">
        <v>78</v>
      </c>
    </row>
    <row r="295" spans="2:27" x14ac:dyDescent="0.25">
      <c r="B295" t="s">
        <v>868</v>
      </c>
      <c r="C295" t="s">
        <v>84</v>
      </c>
      <c r="D295" t="s">
        <v>869</v>
      </c>
      <c r="E295" t="s">
        <v>53</v>
      </c>
      <c r="G295">
        <v>2</v>
      </c>
      <c r="H295">
        <v>2</v>
      </c>
      <c r="U295">
        <v>33</v>
      </c>
      <c r="V295">
        <v>9</v>
      </c>
      <c r="X295">
        <v>2</v>
      </c>
      <c r="Y295">
        <v>12</v>
      </c>
      <c r="Z295">
        <f t="shared" si="10"/>
        <v>44</v>
      </c>
      <c r="AA295" t="s">
        <v>938</v>
      </c>
    </row>
    <row r="296" spans="2:27" x14ac:dyDescent="0.25">
      <c r="B296" t="s">
        <v>870</v>
      </c>
      <c r="C296" t="s">
        <v>84</v>
      </c>
      <c r="D296" t="s">
        <v>871</v>
      </c>
      <c r="E296" t="s">
        <v>53</v>
      </c>
      <c r="G296">
        <v>3</v>
      </c>
      <c r="H296">
        <v>3</v>
      </c>
      <c r="U296">
        <v>8</v>
      </c>
      <c r="V296">
        <v>1</v>
      </c>
      <c r="W296">
        <v>1</v>
      </c>
      <c r="X296">
        <v>1</v>
      </c>
      <c r="Y296">
        <v>12</v>
      </c>
      <c r="Z296">
        <f t="shared" si="10"/>
        <v>11</v>
      </c>
      <c r="AA296" t="s">
        <v>895</v>
      </c>
    </row>
    <row r="297" spans="2:27" x14ac:dyDescent="0.25">
      <c r="B297" t="s">
        <v>872</v>
      </c>
      <c r="C297" t="s">
        <v>84</v>
      </c>
      <c r="D297" t="s">
        <v>873</v>
      </c>
      <c r="E297" t="s">
        <v>53</v>
      </c>
      <c r="F297" s="5" t="s">
        <v>874</v>
      </c>
      <c r="G297">
        <v>3</v>
      </c>
      <c r="H297">
        <v>3</v>
      </c>
      <c r="U297">
        <v>8</v>
      </c>
      <c r="V297">
        <v>1</v>
      </c>
      <c r="X297">
        <v>1</v>
      </c>
      <c r="Y297">
        <v>12</v>
      </c>
      <c r="Z297">
        <f t="shared" si="10"/>
        <v>10</v>
      </c>
      <c r="AA297" t="s">
        <v>895</v>
      </c>
    </row>
    <row r="298" spans="2:27" x14ac:dyDescent="0.25">
      <c r="B298" t="s">
        <v>310</v>
      </c>
      <c r="C298" t="s">
        <v>51</v>
      </c>
      <c r="F298" s="5">
        <v>46277</v>
      </c>
      <c r="U298">
        <v>257</v>
      </c>
      <c r="V298">
        <v>76</v>
      </c>
      <c r="X298">
        <v>2</v>
      </c>
      <c r="Z298">
        <f t="shared" si="10"/>
        <v>335</v>
      </c>
    </row>
    <row r="299" spans="2:27" x14ac:dyDescent="0.25">
      <c r="B299" t="s">
        <v>875</v>
      </c>
      <c r="C299" t="s">
        <v>75</v>
      </c>
      <c r="D299" t="s">
        <v>876</v>
      </c>
      <c r="E299" t="s">
        <v>76</v>
      </c>
      <c r="F299" s="5">
        <v>46389</v>
      </c>
      <c r="G299">
        <v>4</v>
      </c>
      <c r="H299">
        <v>20</v>
      </c>
      <c r="U299">
        <v>65</v>
      </c>
      <c r="V299">
        <v>22</v>
      </c>
      <c r="X299">
        <v>4</v>
      </c>
      <c r="Y299">
        <v>36</v>
      </c>
      <c r="Z299">
        <f t="shared" si="10"/>
        <v>91</v>
      </c>
      <c r="AA299" t="s">
        <v>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7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s="7" t="s">
        <v>166</v>
      </c>
      <c r="H1" t="s">
        <v>167</v>
      </c>
      <c r="I1" s="7" t="s">
        <v>26</v>
      </c>
      <c r="J1" t="s">
        <v>168</v>
      </c>
    </row>
    <row r="2" spans="2:10" x14ac:dyDescent="0.25">
      <c r="B2" t="s">
        <v>169</v>
      </c>
      <c r="C2" t="s">
        <v>209</v>
      </c>
      <c r="D2" t="s">
        <v>170</v>
      </c>
      <c r="E2" t="s">
        <v>171</v>
      </c>
      <c r="F2" t="s">
        <v>171</v>
      </c>
      <c r="G2" s="7" t="s">
        <v>172</v>
      </c>
      <c r="I2" s="7" t="s">
        <v>75</v>
      </c>
    </row>
    <row r="3" spans="2:10" x14ac:dyDescent="0.25">
      <c r="B3" t="s">
        <v>22</v>
      </c>
      <c r="C3" t="s">
        <v>209</v>
      </c>
      <c r="D3" t="s">
        <v>173</v>
      </c>
      <c r="E3" t="s">
        <v>174</v>
      </c>
      <c r="F3" t="s">
        <v>175</v>
      </c>
      <c r="G3" s="7" t="s">
        <v>172</v>
      </c>
      <c r="I3" s="7" t="s">
        <v>75</v>
      </c>
    </row>
    <row r="4" spans="2:10" x14ac:dyDescent="0.25">
      <c r="B4" t="s">
        <v>13</v>
      </c>
      <c r="C4" t="s">
        <v>210</v>
      </c>
      <c r="D4" t="s">
        <v>170</v>
      </c>
      <c r="E4" t="s">
        <v>171</v>
      </c>
      <c r="F4" t="s">
        <v>171</v>
      </c>
      <c r="G4" s="7" t="s">
        <v>172</v>
      </c>
      <c r="I4" s="7" t="s">
        <v>51</v>
      </c>
    </row>
    <row r="5" spans="2:10" x14ac:dyDescent="0.25">
      <c r="B5" t="s">
        <v>14</v>
      </c>
      <c r="C5" t="s">
        <v>210</v>
      </c>
      <c r="D5" t="s">
        <v>170</v>
      </c>
      <c r="E5" t="s">
        <v>171</v>
      </c>
      <c r="F5" t="s">
        <v>171</v>
      </c>
      <c r="G5" s="7" t="s">
        <v>172</v>
      </c>
      <c r="I5" s="7" t="s">
        <v>51</v>
      </c>
    </row>
    <row r="6" spans="2:10" x14ac:dyDescent="0.25">
      <c r="B6" t="s">
        <v>176</v>
      </c>
      <c r="C6" t="s">
        <v>210</v>
      </c>
      <c r="D6" t="s">
        <v>170</v>
      </c>
      <c r="E6" t="s">
        <v>175</v>
      </c>
      <c r="F6" t="s">
        <v>175</v>
      </c>
      <c r="G6" s="7" t="s">
        <v>172</v>
      </c>
      <c r="I6" s="7" t="s">
        <v>51</v>
      </c>
    </row>
    <row r="7" spans="2:10" x14ac:dyDescent="0.25">
      <c r="B7" t="s">
        <v>177</v>
      </c>
      <c r="C7" t="s">
        <v>210</v>
      </c>
      <c r="D7" t="s">
        <v>173</v>
      </c>
      <c r="E7" t="s">
        <v>174</v>
      </c>
      <c r="F7" t="s">
        <v>174</v>
      </c>
      <c r="G7" s="7" t="s">
        <v>172</v>
      </c>
      <c r="I7" s="7" t="s">
        <v>51</v>
      </c>
    </row>
    <row r="8" spans="2:10" x14ac:dyDescent="0.25">
      <c r="B8" t="s">
        <v>178</v>
      </c>
      <c r="C8" t="s">
        <v>210</v>
      </c>
      <c r="D8" t="s">
        <v>173</v>
      </c>
      <c r="E8" t="s">
        <v>175</v>
      </c>
      <c r="F8" t="s">
        <v>175</v>
      </c>
      <c r="G8" s="7" t="s">
        <v>172</v>
      </c>
      <c r="I8" s="7" t="s">
        <v>51</v>
      </c>
    </row>
    <row r="9" spans="2:10" x14ac:dyDescent="0.25">
      <c r="B9" t="s">
        <v>179</v>
      </c>
      <c r="C9" t="s">
        <v>111</v>
      </c>
      <c r="D9" t="s">
        <v>170</v>
      </c>
      <c r="E9" t="s">
        <v>171</v>
      </c>
      <c r="F9" t="s">
        <v>171</v>
      </c>
      <c r="G9" s="7" t="s">
        <v>172</v>
      </c>
      <c r="H9">
        <v>46082</v>
      </c>
      <c r="I9" s="7" t="s">
        <v>75</v>
      </c>
    </row>
    <row r="10" spans="2:10" x14ac:dyDescent="0.25">
      <c r="B10" t="s">
        <v>180</v>
      </c>
      <c r="C10" t="s">
        <v>209</v>
      </c>
      <c r="D10" t="s">
        <v>170</v>
      </c>
      <c r="E10" t="s">
        <v>171</v>
      </c>
      <c r="F10" t="s">
        <v>181</v>
      </c>
      <c r="G10" s="7" t="s">
        <v>172</v>
      </c>
      <c r="I10" s="7" t="s">
        <v>75</v>
      </c>
    </row>
    <row r="11" spans="2:10" x14ac:dyDescent="0.25">
      <c r="B11" t="s">
        <v>182</v>
      </c>
      <c r="C11" t="s">
        <v>209</v>
      </c>
      <c r="D11" t="s">
        <v>173</v>
      </c>
      <c r="E11" t="s">
        <v>171</v>
      </c>
      <c r="F11" t="s">
        <v>171</v>
      </c>
      <c r="G11" s="7" t="s">
        <v>172</v>
      </c>
      <c r="I11" s="7" t="s">
        <v>75</v>
      </c>
    </row>
    <row r="12" spans="2:10" x14ac:dyDescent="0.25">
      <c r="B12" t="s">
        <v>183</v>
      </c>
      <c r="C12" t="s">
        <v>210</v>
      </c>
      <c r="D12" t="s">
        <v>170</v>
      </c>
      <c r="E12" t="s">
        <v>175</v>
      </c>
      <c r="F12" t="s">
        <v>175</v>
      </c>
      <c r="G12" s="7" t="s">
        <v>172</v>
      </c>
      <c r="H12">
        <v>46083</v>
      </c>
      <c r="I12" s="7" t="s">
        <v>51</v>
      </c>
    </row>
    <row r="13" spans="2:10" x14ac:dyDescent="0.25">
      <c r="B13" t="s">
        <v>184</v>
      </c>
      <c r="C13" t="s">
        <v>210</v>
      </c>
      <c r="D13" t="s">
        <v>173</v>
      </c>
      <c r="E13" t="s">
        <v>171</v>
      </c>
      <c r="F13" t="s">
        <v>171</v>
      </c>
      <c r="G13" s="7" t="s">
        <v>172</v>
      </c>
      <c r="I13" s="7" t="s">
        <v>51</v>
      </c>
    </row>
    <row r="14" spans="2:10" x14ac:dyDescent="0.25">
      <c r="B14" t="s">
        <v>185</v>
      </c>
      <c r="C14" t="s">
        <v>210</v>
      </c>
      <c r="D14" t="s">
        <v>173</v>
      </c>
      <c r="E14" t="s">
        <v>181</v>
      </c>
      <c r="F14" t="s">
        <v>181</v>
      </c>
      <c r="G14" s="7" t="s">
        <v>172</v>
      </c>
      <c r="I14" s="7" t="s">
        <v>84</v>
      </c>
    </row>
    <row r="15" spans="2:10" x14ac:dyDescent="0.25">
      <c r="B15" t="s">
        <v>186</v>
      </c>
      <c r="C15" t="s">
        <v>210</v>
      </c>
      <c r="D15" t="s">
        <v>170</v>
      </c>
      <c r="E15" t="s">
        <v>174</v>
      </c>
      <c r="F15" t="s">
        <v>174</v>
      </c>
      <c r="G15" s="7" t="s">
        <v>172</v>
      </c>
      <c r="I15" s="7" t="s">
        <v>51</v>
      </c>
    </row>
    <row r="16" spans="2:10" x14ac:dyDescent="0.25">
      <c r="B16" t="s">
        <v>187</v>
      </c>
      <c r="C16" t="s">
        <v>111</v>
      </c>
      <c r="D16" t="s">
        <v>173</v>
      </c>
      <c r="E16" t="s">
        <v>181</v>
      </c>
      <c r="F16" t="s">
        <v>188</v>
      </c>
      <c r="G16" s="7" t="s">
        <v>172</v>
      </c>
      <c r="I16" s="7" t="s">
        <v>75</v>
      </c>
    </row>
    <row r="17" spans="2:10" x14ac:dyDescent="0.25">
      <c r="B17" t="s">
        <v>189</v>
      </c>
      <c r="C17" t="s">
        <v>210</v>
      </c>
      <c r="D17" t="s">
        <v>170</v>
      </c>
      <c r="E17" t="s">
        <v>174</v>
      </c>
      <c r="F17" t="s">
        <v>174</v>
      </c>
      <c r="G17" s="7" t="s">
        <v>172</v>
      </c>
      <c r="I17" s="7" t="s">
        <v>51</v>
      </c>
      <c r="J17" t="s">
        <v>190</v>
      </c>
    </row>
    <row r="18" spans="2:10" x14ac:dyDescent="0.25">
      <c r="B18" t="s">
        <v>191</v>
      </c>
      <c r="C18" t="s">
        <v>210</v>
      </c>
      <c r="D18" t="s">
        <v>170</v>
      </c>
      <c r="E18" t="s">
        <v>174</v>
      </c>
      <c r="F18" t="s">
        <v>174</v>
      </c>
      <c r="G18" s="7" t="s">
        <v>172</v>
      </c>
      <c r="I18" s="7" t="s">
        <v>84</v>
      </c>
      <c r="J18" t="s">
        <v>190</v>
      </c>
    </row>
    <row r="19" spans="2:10" x14ac:dyDescent="0.25">
      <c r="B19" t="s">
        <v>208</v>
      </c>
      <c r="C19" t="s">
        <v>210</v>
      </c>
      <c r="D19" t="s">
        <v>170</v>
      </c>
      <c r="E19" t="s">
        <v>174</v>
      </c>
      <c r="F19" t="s">
        <v>174</v>
      </c>
      <c r="G19" s="7" t="s">
        <v>172</v>
      </c>
      <c r="I19" t="s">
        <v>51</v>
      </c>
      <c r="J19" t="s">
        <v>190</v>
      </c>
    </row>
    <row r="20" spans="2:10" x14ac:dyDescent="0.25">
      <c r="B20" t="s">
        <v>207</v>
      </c>
      <c r="C20" t="s">
        <v>210</v>
      </c>
      <c r="D20" t="s">
        <v>170</v>
      </c>
      <c r="E20" t="s">
        <v>211</v>
      </c>
      <c r="F20" t="s">
        <v>175</v>
      </c>
      <c r="G20" s="7" t="s">
        <v>172</v>
      </c>
      <c r="I20" t="s">
        <v>51</v>
      </c>
      <c r="J20" t="s">
        <v>190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9" t="s">
        <v>185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9" t="s">
        <v>178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9" t="s">
        <v>184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9" t="s">
        <v>182</v>
      </c>
      <c r="G37" t="s">
        <v>10</v>
      </c>
      <c r="I37" s="7"/>
    </row>
    <row r="38" spans="2:9" x14ac:dyDescent="0.25">
      <c r="B38" s="9" t="s">
        <v>191</v>
      </c>
      <c r="G38" t="s">
        <v>10</v>
      </c>
      <c r="I38" s="7"/>
    </row>
    <row r="39" spans="2:9" x14ac:dyDescent="0.25">
      <c r="B39" s="9" t="s">
        <v>205</v>
      </c>
      <c r="G39" t="s">
        <v>10</v>
      </c>
      <c r="I39" s="7"/>
    </row>
    <row r="40" spans="2:9" x14ac:dyDescent="0.25">
      <c r="B40" s="9" t="s">
        <v>206</v>
      </c>
      <c r="G40" t="s">
        <v>10</v>
      </c>
      <c r="I40" s="7"/>
    </row>
    <row r="41" spans="2:9" x14ac:dyDescent="0.25">
      <c r="B41" s="9" t="s">
        <v>215</v>
      </c>
      <c r="G41" t="s">
        <v>10</v>
      </c>
      <c r="I41" s="7"/>
    </row>
    <row r="42" spans="2:9" x14ac:dyDescent="0.25">
      <c r="B42" s="9" t="s">
        <v>212</v>
      </c>
      <c r="G42" t="s">
        <v>10</v>
      </c>
      <c r="I42" s="7"/>
    </row>
    <row r="43" spans="2:9" x14ac:dyDescent="0.25">
      <c r="B43" s="9" t="s">
        <v>186</v>
      </c>
      <c r="G43" t="s">
        <v>10</v>
      </c>
      <c r="I43" s="7"/>
    </row>
    <row r="44" spans="2:9" x14ac:dyDescent="0.25">
      <c r="B44" s="9" t="s">
        <v>187</v>
      </c>
      <c r="G44" t="s">
        <v>10</v>
      </c>
      <c r="I44" s="7"/>
    </row>
    <row r="45" spans="2:9" x14ac:dyDescent="0.25">
      <c r="B45" s="10" t="s">
        <v>213</v>
      </c>
      <c r="G45" t="s">
        <v>214</v>
      </c>
      <c r="I45" s="7"/>
    </row>
    <row r="46" spans="2:9" x14ac:dyDescent="0.25">
      <c r="B46" s="10" t="s">
        <v>216</v>
      </c>
      <c r="G46" t="s">
        <v>214</v>
      </c>
      <c r="I46" s="7"/>
    </row>
    <row r="47" spans="2:9" x14ac:dyDescent="0.25">
      <c r="B47" s="10" t="s">
        <v>217</v>
      </c>
      <c r="G47" t="s">
        <v>214</v>
      </c>
      <c r="I47" s="7"/>
    </row>
    <row r="48" spans="2:9" x14ac:dyDescent="0.25">
      <c r="B48" s="10" t="s">
        <v>218</v>
      </c>
      <c r="G48" t="s">
        <v>214</v>
      </c>
      <c r="I48" s="7"/>
    </row>
    <row r="49" spans="2:9" x14ac:dyDescent="0.25">
      <c r="B49" s="10" t="s">
        <v>219</v>
      </c>
      <c r="G49" t="s">
        <v>214</v>
      </c>
      <c r="I49" s="7"/>
    </row>
    <row r="50" spans="2:9" x14ac:dyDescent="0.25">
      <c r="B50" s="10" t="s">
        <v>220</v>
      </c>
      <c r="G50" t="s">
        <v>214</v>
      </c>
      <c r="I50" s="7"/>
    </row>
    <row r="51" spans="2:9" x14ac:dyDescent="0.25">
      <c r="B51" s="10" t="s">
        <v>221</v>
      </c>
      <c r="G51" t="s">
        <v>214</v>
      </c>
      <c r="I51" s="7"/>
    </row>
    <row r="52" spans="2:9" x14ac:dyDescent="0.25">
      <c r="B52" s="10" t="s">
        <v>222</v>
      </c>
      <c r="G52" t="s">
        <v>214</v>
      </c>
      <c r="I52" s="7"/>
    </row>
    <row r="53" spans="2:9" x14ac:dyDescent="0.25">
      <c r="B53" s="10" t="s">
        <v>223</v>
      </c>
      <c r="G53" t="s">
        <v>214</v>
      </c>
      <c r="I53" s="7"/>
    </row>
    <row r="54" spans="2:9" x14ac:dyDescent="0.25">
      <c r="B54" s="10" t="s">
        <v>224</v>
      </c>
      <c r="G54" t="s">
        <v>214</v>
      </c>
      <c r="I54" s="7"/>
    </row>
    <row r="55" spans="2:9" x14ac:dyDescent="0.25">
      <c r="B55" s="10" t="s">
        <v>225</v>
      </c>
      <c r="G55" t="s">
        <v>214</v>
      </c>
      <c r="I55" s="7"/>
    </row>
    <row r="56" spans="2:9" x14ac:dyDescent="0.25">
      <c r="B56" s="10" t="s">
        <v>226</v>
      </c>
      <c r="G56" t="s">
        <v>214</v>
      </c>
      <c r="I56" s="7"/>
    </row>
    <row r="57" spans="2:9" x14ac:dyDescent="0.25">
      <c r="B57" s="10" t="s">
        <v>177</v>
      </c>
      <c r="G57" t="s">
        <v>214</v>
      </c>
      <c r="I57" s="7"/>
    </row>
    <row r="58" spans="2:9" x14ac:dyDescent="0.25">
      <c r="B58" s="10" t="s">
        <v>215</v>
      </c>
      <c r="G58" t="s">
        <v>214</v>
      </c>
      <c r="I58" s="7"/>
    </row>
    <row r="59" spans="2:9" x14ac:dyDescent="0.25">
      <c r="B59" s="10" t="s">
        <v>213</v>
      </c>
      <c r="G59" t="s">
        <v>214</v>
      </c>
      <c r="I59" s="7"/>
    </row>
    <row r="60" spans="2:9" x14ac:dyDescent="0.25">
      <c r="B60" s="10" t="s">
        <v>227</v>
      </c>
      <c r="G60" t="s">
        <v>214</v>
      </c>
      <c r="I60" s="7"/>
    </row>
    <row r="61" spans="2:9" x14ac:dyDescent="0.25">
      <c r="B61" s="10" t="s">
        <v>228</v>
      </c>
      <c r="G61" t="s">
        <v>214</v>
      </c>
      <c r="I61" s="7"/>
    </row>
    <row r="62" spans="2:9" x14ac:dyDescent="0.25">
      <c r="B62" s="10" t="s">
        <v>229</v>
      </c>
      <c r="G62" t="s">
        <v>214</v>
      </c>
      <c r="I62" s="7"/>
    </row>
    <row r="63" spans="2:9" x14ac:dyDescent="0.25">
      <c r="B63" s="10" t="s">
        <v>230</v>
      </c>
      <c r="G63" t="s">
        <v>214</v>
      </c>
      <c r="I63" s="7"/>
    </row>
    <row r="64" spans="2:9" x14ac:dyDescent="0.25">
      <c r="B64" s="10" t="s">
        <v>231</v>
      </c>
      <c r="G64" t="s">
        <v>214</v>
      </c>
      <c r="I64" s="7"/>
    </row>
    <row r="65" spans="2:9" x14ac:dyDescent="0.25">
      <c r="B65" s="10" t="s">
        <v>191</v>
      </c>
      <c r="G65" t="s">
        <v>214</v>
      </c>
      <c r="I65" s="7"/>
    </row>
    <row r="66" spans="2:9" x14ac:dyDescent="0.25">
      <c r="B66" s="10" t="s">
        <v>232</v>
      </c>
      <c r="G66" t="s">
        <v>214</v>
      </c>
      <c r="I66" s="7"/>
    </row>
    <row r="67" spans="2:9" x14ac:dyDescent="0.25">
      <c r="B67" s="10" t="s">
        <v>233</v>
      </c>
      <c r="G67" t="s">
        <v>214</v>
      </c>
      <c r="I67" s="7"/>
    </row>
    <row r="68" spans="2:9" x14ac:dyDescent="0.25">
      <c r="B68" s="10" t="s">
        <v>234</v>
      </c>
      <c r="G68" t="s">
        <v>214</v>
      </c>
      <c r="I68" s="7"/>
    </row>
    <row r="69" spans="2:9" x14ac:dyDescent="0.25">
      <c r="B69" s="10" t="s">
        <v>20</v>
      </c>
      <c r="G69" t="s">
        <v>214</v>
      </c>
      <c r="I69" s="7"/>
    </row>
    <row r="70" spans="2:9" x14ac:dyDescent="0.25">
      <c r="B70" s="10" t="s">
        <v>235</v>
      </c>
      <c r="G70" t="s">
        <v>214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9" t="s">
        <v>185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9" t="s">
        <v>178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9" t="s">
        <v>184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9" t="s">
        <v>182</v>
      </c>
      <c r="C23" t="s">
        <v>10</v>
      </c>
    </row>
    <row r="24" spans="1:3" x14ac:dyDescent="0.25">
      <c r="A24" s="8">
        <v>234567890</v>
      </c>
      <c r="B24" s="9" t="s">
        <v>191</v>
      </c>
      <c r="C24" t="s">
        <v>10</v>
      </c>
    </row>
    <row r="25" spans="1:3" x14ac:dyDescent="0.25">
      <c r="A25" s="8">
        <v>345678901</v>
      </c>
      <c r="B25" s="9" t="s">
        <v>205</v>
      </c>
      <c r="C25" t="s">
        <v>10</v>
      </c>
    </row>
    <row r="26" spans="1:3" x14ac:dyDescent="0.25">
      <c r="A26" s="8">
        <v>456789012</v>
      </c>
      <c r="B26" s="9" t="s">
        <v>206</v>
      </c>
      <c r="C26" t="s">
        <v>10</v>
      </c>
    </row>
    <row r="27" spans="1:3" x14ac:dyDescent="0.25">
      <c r="A27" s="8">
        <v>503285621</v>
      </c>
      <c r="B27" s="9" t="s">
        <v>215</v>
      </c>
      <c r="C27" t="s">
        <v>10</v>
      </c>
    </row>
    <row r="28" spans="1:3" x14ac:dyDescent="0.25">
      <c r="A28" s="8">
        <v>509288074</v>
      </c>
      <c r="B28" s="9" t="s">
        <v>212</v>
      </c>
      <c r="C28" t="s">
        <v>10</v>
      </c>
    </row>
    <row r="29" spans="1:3" x14ac:dyDescent="0.25">
      <c r="A29" s="8">
        <v>789012345</v>
      </c>
      <c r="B29" s="9" t="s">
        <v>186</v>
      </c>
      <c r="C29" t="s">
        <v>10</v>
      </c>
    </row>
    <row r="30" spans="1:3" x14ac:dyDescent="0.25">
      <c r="A30" s="8">
        <v>890123456</v>
      </c>
      <c r="B30" s="9" t="s">
        <v>187</v>
      </c>
      <c r="C30" t="s">
        <v>10</v>
      </c>
    </row>
    <row r="31" spans="1:3" x14ac:dyDescent="0.25">
      <c r="A31" s="8">
        <v>123456789</v>
      </c>
      <c r="B31" s="10" t="s">
        <v>213</v>
      </c>
      <c r="C31" t="s">
        <v>214</v>
      </c>
    </row>
    <row r="32" spans="1:3" x14ac:dyDescent="0.25">
      <c r="A32" s="8">
        <v>123456789</v>
      </c>
      <c r="B32" s="10" t="s">
        <v>216</v>
      </c>
      <c r="C32" t="s">
        <v>214</v>
      </c>
    </row>
    <row r="33" spans="1:3" x14ac:dyDescent="0.25">
      <c r="A33" s="8">
        <v>123456789</v>
      </c>
      <c r="B33" s="10" t="s">
        <v>217</v>
      </c>
      <c r="C33" t="s">
        <v>214</v>
      </c>
    </row>
    <row r="34" spans="1:3" x14ac:dyDescent="0.25">
      <c r="A34" s="8">
        <v>123456789</v>
      </c>
      <c r="B34" s="10" t="s">
        <v>218</v>
      </c>
      <c r="C34" t="s">
        <v>214</v>
      </c>
    </row>
    <row r="35" spans="1:3" x14ac:dyDescent="0.25">
      <c r="A35" s="8">
        <v>123456789</v>
      </c>
      <c r="B35" s="10" t="s">
        <v>219</v>
      </c>
      <c r="C35" t="s">
        <v>214</v>
      </c>
    </row>
    <row r="36" spans="1:3" x14ac:dyDescent="0.25">
      <c r="A36" s="8">
        <v>123456789</v>
      </c>
      <c r="B36" s="10" t="s">
        <v>220</v>
      </c>
      <c r="C36" t="s">
        <v>214</v>
      </c>
    </row>
    <row r="37" spans="1:3" x14ac:dyDescent="0.25">
      <c r="A37" s="8">
        <v>123456789</v>
      </c>
      <c r="B37" s="10" t="s">
        <v>221</v>
      </c>
      <c r="C37" t="s">
        <v>214</v>
      </c>
    </row>
    <row r="38" spans="1:3" x14ac:dyDescent="0.25">
      <c r="A38" s="8">
        <v>123456789</v>
      </c>
      <c r="B38" s="10" t="s">
        <v>222</v>
      </c>
      <c r="C38" t="s">
        <v>214</v>
      </c>
    </row>
    <row r="39" spans="1:3" x14ac:dyDescent="0.25">
      <c r="A39" s="8">
        <v>123456789</v>
      </c>
      <c r="B39" s="10" t="s">
        <v>223</v>
      </c>
      <c r="C39" t="s">
        <v>214</v>
      </c>
    </row>
    <row r="40" spans="1:3" x14ac:dyDescent="0.25">
      <c r="A40" s="8">
        <v>123456789</v>
      </c>
      <c r="B40" s="10" t="s">
        <v>224</v>
      </c>
      <c r="C40" t="s">
        <v>214</v>
      </c>
    </row>
    <row r="41" spans="1:3" x14ac:dyDescent="0.25">
      <c r="A41" s="8">
        <v>123456789</v>
      </c>
      <c r="B41" s="10" t="s">
        <v>225</v>
      </c>
      <c r="C41" t="s">
        <v>214</v>
      </c>
    </row>
    <row r="42" spans="1:3" x14ac:dyDescent="0.25">
      <c r="A42" s="8">
        <v>123456789</v>
      </c>
      <c r="B42" s="10" t="s">
        <v>226</v>
      </c>
      <c r="C42" t="s">
        <v>214</v>
      </c>
    </row>
    <row r="43" spans="1:3" x14ac:dyDescent="0.25">
      <c r="A43" s="8">
        <v>123456789</v>
      </c>
      <c r="B43" s="10" t="s">
        <v>177</v>
      </c>
      <c r="C43" t="s">
        <v>214</v>
      </c>
    </row>
    <row r="44" spans="1:3" x14ac:dyDescent="0.25">
      <c r="A44" s="8">
        <v>123456789</v>
      </c>
      <c r="B44" s="10" t="s">
        <v>215</v>
      </c>
      <c r="C44" t="s">
        <v>214</v>
      </c>
    </row>
    <row r="45" spans="1:3" x14ac:dyDescent="0.25">
      <c r="A45" s="8">
        <v>123456789</v>
      </c>
      <c r="B45" s="10" t="s">
        <v>213</v>
      </c>
      <c r="C45" t="s">
        <v>214</v>
      </c>
    </row>
    <row r="46" spans="1:3" x14ac:dyDescent="0.25">
      <c r="A46" s="8">
        <v>123456789</v>
      </c>
      <c r="B46" s="10" t="s">
        <v>227</v>
      </c>
      <c r="C46" t="s">
        <v>214</v>
      </c>
    </row>
    <row r="47" spans="1:3" x14ac:dyDescent="0.25">
      <c r="A47" s="8">
        <v>123456789</v>
      </c>
      <c r="B47" s="10" t="s">
        <v>228</v>
      </c>
      <c r="C47" t="s">
        <v>214</v>
      </c>
    </row>
    <row r="48" spans="1:3" x14ac:dyDescent="0.25">
      <c r="A48" s="8">
        <v>123456789</v>
      </c>
      <c r="B48" s="10" t="s">
        <v>229</v>
      </c>
      <c r="C48" t="s">
        <v>214</v>
      </c>
    </row>
    <row r="49" spans="1:3" x14ac:dyDescent="0.25">
      <c r="A49" s="8">
        <v>123456789</v>
      </c>
      <c r="B49" s="10" t="s">
        <v>230</v>
      </c>
      <c r="C49" t="s">
        <v>214</v>
      </c>
    </row>
    <row r="50" spans="1:3" x14ac:dyDescent="0.25">
      <c r="A50" s="8">
        <v>123456789</v>
      </c>
      <c r="B50" s="10" t="s">
        <v>231</v>
      </c>
      <c r="C50" t="s">
        <v>214</v>
      </c>
    </row>
    <row r="51" spans="1:3" x14ac:dyDescent="0.25">
      <c r="A51" s="8">
        <v>123456789</v>
      </c>
      <c r="B51" s="10" t="s">
        <v>191</v>
      </c>
      <c r="C51" t="s">
        <v>214</v>
      </c>
    </row>
    <row r="52" spans="1:3" x14ac:dyDescent="0.25">
      <c r="A52" s="8">
        <v>123456789</v>
      </c>
      <c r="B52" s="10" t="s">
        <v>232</v>
      </c>
      <c r="C52" t="s">
        <v>214</v>
      </c>
    </row>
    <row r="53" spans="1:3" x14ac:dyDescent="0.25">
      <c r="A53" s="8">
        <v>123456789</v>
      </c>
      <c r="B53" s="10" t="s">
        <v>233</v>
      </c>
      <c r="C53" t="s">
        <v>214</v>
      </c>
    </row>
    <row r="54" spans="1:3" x14ac:dyDescent="0.25">
      <c r="A54" s="8">
        <v>123456789</v>
      </c>
      <c r="B54" s="10" t="s">
        <v>234</v>
      </c>
      <c r="C54" t="s">
        <v>214</v>
      </c>
    </row>
    <row r="55" spans="1:3" x14ac:dyDescent="0.25">
      <c r="A55" s="8">
        <v>123456789</v>
      </c>
      <c r="B55" s="10" t="s">
        <v>20</v>
      </c>
      <c r="C55" t="s">
        <v>214</v>
      </c>
    </row>
    <row r="56" spans="1:3" x14ac:dyDescent="0.25">
      <c r="A56" s="8">
        <v>123456789</v>
      </c>
      <c r="B56" s="10" t="s">
        <v>235</v>
      </c>
      <c r="C56" t="s">
        <v>214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30"/>
  <sheetViews>
    <sheetView workbookViewId="0">
      <selection activeCell="A2" sqref="A2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</cols>
  <sheetData>
    <row r="1" spans="1:18" x14ac:dyDescent="0.25">
      <c r="A1" t="s">
        <v>24</v>
      </c>
      <c r="B1" t="s">
        <v>192</v>
      </c>
      <c r="C1" t="s">
        <v>26</v>
      </c>
      <c r="D1" t="s">
        <v>27</v>
      </c>
      <c r="E1" t="s">
        <v>28</v>
      </c>
      <c r="F1" t="s">
        <v>36</v>
      </c>
      <c r="G1" t="s">
        <v>193</v>
      </c>
      <c r="H1" t="s">
        <v>194</v>
      </c>
      <c r="I1" t="s">
        <v>195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  <c r="R1" t="s">
        <v>204</v>
      </c>
    </row>
    <row r="2" spans="1:18" x14ac:dyDescent="0.25">
      <c r="A2">
        <v>46</v>
      </c>
      <c r="B2" s="5">
        <v>46086</v>
      </c>
      <c r="C2" t="s">
        <v>75</v>
      </c>
      <c r="D2" t="s">
        <v>158</v>
      </c>
      <c r="E2" t="s">
        <v>76</v>
      </c>
      <c r="F2">
        <v>2</v>
      </c>
      <c r="G2">
        <v>10</v>
      </c>
      <c r="H2">
        <v>0</v>
      </c>
      <c r="I2">
        <v>0</v>
      </c>
      <c r="J2">
        <v>0</v>
      </c>
      <c r="K2" t="s">
        <v>22</v>
      </c>
      <c r="L2" t="s">
        <v>241</v>
      </c>
      <c r="M2" t="s">
        <v>241</v>
      </c>
      <c r="N2" t="s">
        <v>23</v>
      </c>
      <c r="O2" t="s">
        <v>241</v>
      </c>
      <c r="P2" t="s">
        <v>241</v>
      </c>
      <c r="Q2" t="s">
        <v>940</v>
      </c>
      <c r="R2" s="11">
        <v>46086.776388888888</v>
      </c>
    </row>
    <row r="3" spans="1:18" x14ac:dyDescent="0.25">
      <c r="A3">
        <v>47</v>
      </c>
      <c r="B3" s="5">
        <v>46086</v>
      </c>
      <c r="C3" t="s">
        <v>75</v>
      </c>
      <c r="D3" t="s">
        <v>158</v>
      </c>
      <c r="E3" t="s">
        <v>76</v>
      </c>
      <c r="F3">
        <v>2</v>
      </c>
      <c r="G3">
        <v>0</v>
      </c>
      <c r="H3">
        <v>0</v>
      </c>
      <c r="I3">
        <v>0</v>
      </c>
      <c r="J3">
        <v>0</v>
      </c>
      <c r="K3" t="s">
        <v>241</v>
      </c>
      <c r="L3" t="s">
        <v>241</v>
      </c>
      <c r="M3" t="s">
        <v>241</v>
      </c>
      <c r="N3" t="s">
        <v>241</v>
      </c>
      <c r="O3" t="s">
        <v>241</v>
      </c>
      <c r="P3" t="s">
        <v>241</v>
      </c>
      <c r="Q3" t="s">
        <v>940</v>
      </c>
      <c r="R3" s="11">
        <v>46086.776388888888</v>
      </c>
    </row>
    <row r="4" spans="1:18" x14ac:dyDescent="0.25">
      <c r="A4">
        <v>48</v>
      </c>
      <c r="B4" s="5">
        <v>46086</v>
      </c>
      <c r="C4" t="s">
        <v>75</v>
      </c>
      <c r="D4" t="s">
        <v>158</v>
      </c>
      <c r="E4" t="s">
        <v>76</v>
      </c>
      <c r="F4">
        <v>2</v>
      </c>
      <c r="G4">
        <v>0</v>
      </c>
      <c r="H4">
        <v>0</v>
      </c>
      <c r="I4">
        <v>0</v>
      </c>
      <c r="J4">
        <v>0</v>
      </c>
      <c r="K4" t="s">
        <v>241</v>
      </c>
      <c r="L4" t="s">
        <v>241</v>
      </c>
      <c r="M4" t="s">
        <v>241</v>
      </c>
      <c r="N4" t="s">
        <v>241</v>
      </c>
      <c r="O4" t="s">
        <v>241</v>
      </c>
      <c r="P4" t="s">
        <v>241</v>
      </c>
      <c r="Q4" t="s">
        <v>940</v>
      </c>
      <c r="R4" s="11">
        <v>46086.776388888888</v>
      </c>
    </row>
    <row r="5" spans="1:18" x14ac:dyDescent="0.25">
      <c r="A5">
        <v>49</v>
      </c>
      <c r="B5" s="5">
        <v>46086</v>
      </c>
      <c r="C5" t="s">
        <v>75</v>
      </c>
      <c r="D5" t="s">
        <v>158</v>
      </c>
      <c r="E5" t="s">
        <v>76</v>
      </c>
      <c r="F5">
        <v>2</v>
      </c>
      <c r="G5">
        <v>0</v>
      </c>
      <c r="H5">
        <v>0</v>
      </c>
      <c r="I5">
        <v>0</v>
      </c>
      <c r="J5">
        <v>0</v>
      </c>
      <c r="K5" t="s">
        <v>241</v>
      </c>
      <c r="L5" t="s">
        <v>241</v>
      </c>
      <c r="M5" t="s">
        <v>241</v>
      </c>
      <c r="N5" t="s">
        <v>241</v>
      </c>
      <c r="O5" t="s">
        <v>241</v>
      </c>
      <c r="P5" t="s">
        <v>241</v>
      </c>
      <c r="Q5" t="s">
        <v>940</v>
      </c>
      <c r="R5" s="11">
        <v>46086.777083333334</v>
      </c>
    </row>
    <row r="6" spans="1:18" x14ac:dyDescent="0.25">
      <c r="A6">
        <v>50</v>
      </c>
      <c r="B6" s="5">
        <v>46087</v>
      </c>
      <c r="C6" t="s">
        <v>51</v>
      </c>
      <c r="D6" t="s">
        <v>82</v>
      </c>
      <c r="E6" t="s">
        <v>53</v>
      </c>
      <c r="F6">
        <v>3</v>
      </c>
      <c r="G6">
        <v>0</v>
      </c>
      <c r="H6">
        <v>22</v>
      </c>
      <c r="I6">
        <v>0</v>
      </c>
      <c r="J6">
        <v>0</v>
      </c>
      <c r="K6" t="s">
        <v>178</v>
      </c>
      <c r="L6" t="s">
        <v>241</v>
      </c>
      <c r="M6" t="s">
        <v>241</v>
      </c>
      <c r="N6" t="s">
        <v>217</v>
      </c>
      <c r="O6" t="s">
        <v>241</v>
      </c>
      <c r="P6" t="s">
        <v>241</v>
      </c>
      <c r="Q6">
        <v>569007478</v>
      </c>
      <c r="R6" s="11">
        <v>46086.988888888889</v>
      </c>
    </row>
    <row r="7" spans="1:18" x14ac:dyDescent="0.25">
      <c r="A7">
        <v>51</v>
      </c>
      <c r="B7" s="5">
        <v>46086</v>
      </c>
      <c r="C7" t="s">
        <v>75</v>
      </c>
      <c r="D7" t="s">
        <v>102</v>
      </c>
      <c r="E7" t="s">
        <v>76</v>
      </c>
      <c r="F7">
        <v>2</v>
      </c>
      <c r="G7">
        <v>20</v>
      </c>
      <c r="H7">
        <v>0</v>
      </c>
      <c r="I7">
        <v>0</v>
      </c>
      <c r="J7">
        <v>0</v>
      </c>
      <c r="K7" t="s">
        <v>180</v>
      </c>
      <c r="L7" t="s">
        <v>182</v>
      </c>
      <c r="M7" t="s">
        <v>241</v>
      </c>
      <c r="N7" t="s">
        <v>233</v>
      </c>
      <c r="O7" t="s">
        <v>20</v>
      </c>
      <c r="P7" t="s">
        <v>241</v>
      </c>
      <c r="Q7">
        <v>54227695</v>
      </c>
      <c r="R7" s="11">
        <v>46087.022916666669</v>
      </c>
    </row>
    <row r="8" spans="1:18" x14ac:dyDescent="0.25">
      <c r="A8">
        <v>52</v>
      </c>
      <c r="B8" s="5">
        <v>46087</v>
      </c>
      <c r="C8" t="s">
        <v>51</v>
      </c>
      <c r="D8" t="s">
        <v>156</v>
      </c>
      <c r="E8" t="s">
        <v>53</v>
      </c>
      <c r="F8">
        <v>2</v>
      </c>
      <c r="G8">
        <v>6</v>
      </c>
      <c r="H8">
        <v>0</v>
      </c>
      <c r="I8">
        <v>0</v>
      </c>
      <c r="J8">
        <v>0</v>
      </c>
      <c r="K8" t="s">
        <v>215</v>
      </c>
      <c r="L8" t="s">
        <v>241</v>
      </c>
      <c r="M8" t="s">
        <v>241</v>
      </c>
      <c r="N8" t="s">
        <v>216</v>
      </c>
      <c r="O8" t="s">
        <v>241</v>
      </c>
      <c r="P8" t="s">
        <v>241</v>
      </c>
      <c r="Q8">
        <v>553285621</v>
      </c>
      <c r="R8" s="11">
        <v>46087.683333333334</v>
      </c>
    </row>
    <row r="9" spans="1:18" x14ac:dyDescent="0.25">
      <c r="A9">
        <v>53</v>
      </c>
      <c r="B9" s="5">
        <v>46087</v>
      </c>
      <c r="C9" t="s">
        <v>51</v>
      </c>
      <c r="D9" t="s">
        <v>82</v>
      </c>
      <c r="E9" t="s">
        <v>53</v>
      </c>
      <c r="F9">
        <v>3</v>
      </c>
      <c r="G9">
        <v>0</v>
      </c>
      <c r="H9">
        <v>0</v>
      </c>
      <c r="I9">
        <v>0</v>
      </c>
      <c r="J9">
        <v>1</v>
      </c>
      <c r="K9" t="s">
        <v>14</v>
      </c>
      <c r="L9" t="s">
        <v>241</v>
      </c>
      <c r="M9" t="s">
        <v>241</v>
      </c>
      <c r="N9" t="s">
        <v>232</v>
      </c>
      <c r="O9" t="s">
        <v>241</v>
      </c>
      <c r="P9" t="s">
        <v>241</v>
      </c>
      <c r="Q9">
        <v>565265112</v>
      </c>
      <c r="R9" s="11">
        <v>46087.694444444445</v>
      </c>
    </row>
    <row r="10" spans="1:18" x14ac:dyDescent="0.25">
      <c r="A10">
        <v>54</v>
      </c>
      <c r="B10" s="5">
        <v>46087</v>
      </c>
      <c r="C10" t="s">
        <v>75</v>
      </c>
      <c r="D10" t="s">
        <v>158</v>
      </c>
      <c r="E10" t="s">
        <v>76</v>
      </c>
      <c r="F10">
        <v>2</v>
      </c>
      <c r="G10">
        <v>9</v>
      </c>
      <c r="H10">
        <v>0</v>
      </c>
      <c r="I10">
        <v>0</v>
      </c>
      <c r="J10">
        <v>0</v>
      </c>
      <c r="K10" t="s">
        <v>22</v>
      </c>
      <c r="L10" t="s">
        <v>241</v>
      </c>
      <c r="M10" t="s">
        <v>241</v>
      </c>
      <c r="N10" t="s">
        <v>23</v>
      </c>
      <c r="O10" t="s">
        <v>241</v>
      </c>
      <c r="P10" t="s">
        <v>241</v>
      </c>
      <c r="Q10" t="s">
        <v>940</v>
      </c>
      <c r="R10" s="11">
        <v>46087.731249999997</v>
      </c>
    </row>
    <row r="11" spans="1:18" x14ac:dyDescent="0.25">
      <c r="A11">
        <v>55</v>
      </c>
      <c r="B11" s="5">
        <v>46087</v>
      </c>
      <c r="C11" t="s">
        <v>75</v>
      </c>
      <c r="D11" t="s">
        <v>158</v>
      </c>
      <c r="E11" t="s">
        <v>76</v>
      </c>
      <c r="F11">
        <v>2</v>
      </c>
      <c r="G11">
        <v>0</v>
      </c>
      <c r="H11">
        <v>0</v>
      </c>
      <c r="I11">
        <v>0</v>
      </c>
      <c r="J11">
        <v>0</v>
      </c>
      <c r="K11" t="s">
        <v>241</v>
      </c>
      <c r="L11" t="s">
        <v>241</v>
      </c>
      <c r="M11" t="s">
        <v>241</v>
      </c>
      <c r="N11" t="s">
        <v>241</v>
      </c>
      <c r="O11" t="s">
        <v>241</v>
      </c>
      <c r="P11" t="s">
        <v>241</v>
      </c>
      <c r="Q11" t="s">
        <v>940</v>
      </c>
      <c r="R11" s="11">
        <v>46087.731249999997</v>
      </c>
    </row>
    <row r="12" spans="1:18" x14ac:dyDescent="0.25">
      <c r="A12">
        <v>56</v>
      </c>
      <c r="B12" s="5">
        <v>46087</v>
      </c>
      <c r="C12" t="s">
        <v>75</v>
      </c>
      <c r="D12" t="s">
        <v>158</v>
      </c>
      <c r="E12" t="s">
        <v>76</v>
      </c>
      <c r="F12">
        <v>2</v>
      </c>
      <c r="G12">
        <v>0</v>
      </c>
      <c r="H12">
        <v>0</v>
      </c>
      <c r="I12">
        <v>0</v>
      </c>
      <c r="J12">
        <v>0</v>
      </c>
      <c r="K12" t="s">
        <v>241</v>
      </c>
      <c r="L12" t="s">
        <v>241</v>
      </c>
      <c r="M12" t="s">
        <v>241</v>
      </c>
      <c r="N12" t="s">
        <v>241</v>
      </c>
      <c r="O12" t="s">
        <v>241</v>
      </c>
      <c r="P12" t="s">
        <v>241</v>
      </c>
      <c r="Q12" t="s">
        <v>940</v>
      </c>
      <c r="R12" s="11">
        <v>46087.731249999997</v>
      </c>
    </row>
    <row r="13" spans="1:18" x14ac:dyDescent="0.25">
      <c r="A13">
        <v>57</v>
      </c>
      <c r="B13" s="5">
        <v>46087</v>
      </c>
      <c r="C13" t="s">
        <v>75</v>
      </c>
      <c r="D13" t="s">
        <v>158</v>
      </c>
      <c r="E13" t="s">
        <v>76</v>
      </c>
      <c r="F13">
        <v>2</v>
      </c>
      <c r="G13">
        <v>0</v>
      </c>
      <c r="H13">
        <v>0</v>
      </c>
      <c r="I13">
        <v>0</v>
      </c>
      <c r="J13">
        <v>0</v>
      </c>
      <c r="K13" t="s">
        <v>241</v>
      </c>
      <c r="L13" t="s">
        <v>241</v>
      </c>
      <c r="M13" t="s">
        <v>241</v>
      </c>
      <c r="N13" t="s">
        <v>241</v>
      </c>
      <c r="O13" t="s">
        <v>241</v>
      </c>
      <c r="P13" t="s">
        <v>241</v>
      </c>
      <c r="Q13" t="s">
        <v>940</v>
      </c>
      <c r="R13" s="11">
        <v>46087.731249999997</v>
      </c>
    </row>
    <row r="14" spans="1:18" s="12" customFormat="1" x14ac:dyDescent="0.25">
      <c r="A14">
        <v>58</v>
      </c>
      <c r="B14" s="5">
        <v>46087</v>
      </c>
      <c r="C14" t="s">
        <v>75</v>
      </c>
      <c r="D14" t="s">
        <v>158</v>
      </c>
      <c r="E14" t="s">
        <v>76</v>
      </c>
      <c r="F14">
        <v>2</v>
      </c>
      <c r="G14">
        <v>0</v>
      </c>
      <c r="H14">
        <v>0</v>
      </c>
      <c r="I14">
        <v>0</v>
      </c>
      <c r="J14">
        <v>0</v>
      </c>
      <c r="K14" t="s">
        <v>241</v>
      </c>
      <c r="L14" t="s">
        <v>241</v>
      </c>
      <c r="M14" t="s">
        <v>241</v>
      </c>
      <c r="N14" t="s">
        <v>241</v>
      </c>
      <c r="O14" t="s">
        <v>241</v>
      </c>
      <c r="P14" t="s">
        <v>241</v>
      </c>
      <c r="Q14" t="s">
        <v>940</v>
      </c>
      <c r="R14" s="11">
        <v>46087.731944444444</v>
      </c>
    </row>
    <row r="15" spans="1:18" x14ac:dyDescent="0.25">
      <c r="A15">
        <v>59</v>
      </c>
      <c r="B15" s="5">
        <v>46087</v>
      </c>
      <c r="C15" t="s">
        <v>75</v>
      </c>
      <c r="D15" t="s">
        <v>158</v>
      </c>
      <c r="E15" t="s">
        <v>76</v>
      </c>
      <c r="F15">
        <v>2</v>
      </c>
      <c r="G15">
        <v>0</v>
      </c>
      <c r="H15">
        <v>0</v>
      </c>
      <c r="I15">
        <v>0</v>
      </c>
      <c r="J15">
        <v>0</v>
      </c>
      <c r="K15" t="s">
        <v>241</v>
      </c>
      <c r="L15" t="s">
        <v>241</v>
      </c>
      <c r="M15" t="s">
        <v>241</v>
      </c>
      <c r="N15" t="s">
        <v>241</v>
      </c>
      <c r="O15" t="s">
        <v>241</v>
      </c>
      <c r="P15" t="s">
        <v>241</v>
      </c>
      <c r="Q15" t="s">
        <v>940</v>
      </c>
      <c r="R15" s="11">
        <v>46087.731944444444</v>
      </c>
    </row>
    <row r="16" spans="1:18" x14ac:dyDescent="0.25">
      <c r="A16">
        <v>60</v>
      </c>
      <c r="B16" s="5">
        <v>46087</v>
      </c>
      <c r="C16" t="s">
        <v>51</v>
      </c>
      <c r="D16" t="s">
        <v>82</v>
      </c>
      <c r="E16" t="s">
        <v>53</v>
      </c>
      <c r="F16">
        <v>3</v>
      </c>
      <c r="G16">
        <v>15</v>
      </c>
      <c r="H16">
        <v>0</v>
      </c>
      <c r="I16">
        <v>0</v>
      </c>
      <c r="J16">
        <v>0</v>
      </c>
      <c r="K16" t="s">
        <v>245</v>
      </c>
      <c r="L16" t="s">
        <v>241</v>
      </c>
      <c r="M16" t="s">
        <v>241</v>
      </c>
      <c r="N16" t="s">
        <v>213</v>
      </c>
      <c r="O16" t="s">
        <v>241</v>
      </c>
      <c r="P16" t="s">
        <v>241</v>
      </c>
      <c r="Q16">
        <v>509288074</v>
      </c>
      <c r="R16" s="11">
        <v>46087.878472222219</v>
      </c>
    </row>
    <row r="17" spans="1:18" x14ac:dyDescent="0.25">
      <c r="A17">
        <v>61</v>
      </c>
      <c r="B17" s="5">
        <v>46087</v>
      </c>
      <c r="C17" t="s">
        <v>51</v>
      </c>
      <c r="D17" t="s">
        <v>82</v>
      </c>
      <c r="E17" t="s">
        <v>53</v>
      </c>
      <c r="F17">
        <v>3</v>
      </c>
      <c r="G17">
        <v>0</v>
      </c>
      <c r="H17">
        <v>0</v>
      </c>
      <c r="I17">
        <v>0</v>
      </c>
      <c r="J17">
        <v>0</v>
      </c>
      <c r="K17" t="s">
        <v>241</v>
      </c>
      <c r="L17" t="s">
        <v>241</v>
      </c>
      <c r="M17" t="s">
        <v>241</v>
      </c>
      <c r="N17" t="s">
        <v>241</v>
      </c>
      <c r="O17" t="s">
        <v>241</v>
      </c>
      <c r="P17" t="s">
        <v>241</v>
      </c>
      <c r="Q17">
        <v>509288074</v>
      </c>
      <c r="R17" s="11">
        <v>46087.878472222219</v>
      </c>
    </row>
    <row r="18" spans="1:18" x14ac:dyDescent="0.25">
      <c r="A18">
        <v>62</v>
      </c>
      <c r="B18" s="5">
        <v>46087</v>
      </c>
      <c r="C18" t="s">
        <v>51</v>
      </c>
      <c r="D18" t="s">
        <v>157</v>
      </c>
      <c r="E18" t="s">
        <v>53</v>
      </c>
      <c r="F18">
        <v>2</v>
      </c>
      <c r="G18">
        <v>3</v>
      </c>
      <c r="H18">
        <v>0</v>
      </c>
      <c r="I18">
        <v>0</v>
      </c>
      <c r="J18">
        <v>2</v>
      </c>
      <c r="K18" t="s">
        <v>11</v>
      </c>
      <c r="L18" t="s">
        <v>241</v>
      </c>
      <c r="M18" t="s">
        <v>241</v>
      </c>
      <c r="N18" t="s">
        <v>220</v>
      </c>
      <c r="O18" t="s">
        <v>241</v>
      </c>
      <c r="P18" t="s">
        <v>241</v>
      </c>
      <c r="Q18">
        <v>504227514</v>
      </c>
      <c r="R18" s="11">
        <v>46087.929166666669</v>
      </c>
    </row>
    <row r="19" spans="1:18" x14ac:dyDescent="0.25">
      <c r="A19">
        <v>63</v>
      </c>
      <c r="B19" s="5">
        <v>46087</v>
      </c>
      <c r="C19" t="s">
        <v>75</v>
      </c>
      <c r="D19" t="s">
        <v>102</v>
      </c>
      <c r="E19" t="s">
        <v>76</v>
      </c>
      <c r="F19">
        <v>2</v>
      </c>
      <c r="G19">
        <v>0</v>
      </c>
      <c r="H19">
        <v>14</v>
      </c>
      <c r="I19">
        <v>0</v>
      </c>
      <c r="J19">
        <v>2</v>
      </c>
      <c r="K19" t="s">
        <v>180</v>
      </c>
      <c r="L19" t="s">
        <v>182</v>
      </c>
      <c r="M19" t="s">
        <v>241</v>
      </c>
      <c r="N19" t="s">
        <v>233</v>
      </c>
      <c r="O19" t="s">
        <v>20</v>
      </c>
      <c r="P19" t="s">
        <v>241</v>
      </c>
      <c r="Q19">
        <v>54227695</v>
      </c>
      <c r="R19" s="11">
        <v>46088.008333333331</v>
      </c>
    </row>
    <row r="20" spans="1:18" x14ac:dyDescent="0.25">
      <c r="A20">
        <v>64</v>
      </c>
      <c r="B20" s="5">
        <v>46088</v>
      </c>
      <c r="C20" t="s">
        <v>51</v>
      </c>
      <c r="D20" t="s">
        <v>82</v>
      </c>
      <c r="E20" t="s">
        <v>53</v>
      </c>
      <c r="F20">
        <v>3</v>
      </c>
      <c r="G20">
        <v>0</v>
      </c>
      <c r="H20">
        <v>8</v>
      </c>
      <c r="I20">
        <v>0</v>
      </c>
      <c r="J20">
        <v>1</v>
      </c>
      <c r="K20" t="s">
        <v>178</v>
      </c>
      <c r="L20" t="s">
        <v>241</v>
      </c>
      <c r="M20" t="s">
        <v>241</v>
      </c>
      <c r="N20" t="s">
        <v>217</v>
      </c>
      <c r="O20" t="s">
        <v>241</v>
      </c>
      <c r="P20" t="s">
        <v>241</v>
      </c>
      <c r="Q20">
        <v>569007478</v>
      </c>
      <c r="R20" s="11">
        <v>46088.022222222222</v>
      </c>
    </row>
    <row r="21" spans="1:18" x14ac:dyDescent="0.25">
      <c r="A21">
        <v>65</v>
      </c>
      <c r="B21" s="5">
        <v>46087</v>
      </c>
      <c r="C21" t="s">
        <v>75</v>
      </c>
      <c r="D21" t="s">
        <v>158</v>
      </c>
      <c r="E21" t="s">
        <v>76</v>
      </c>
      <c r="F21">
        <v>2</v>
      </c>
      <c r="G21">
        <v>9</v>
      </c>
      <c r="H21">
        <v>0</v>
      </c>
      <c r="I21">
        <v>0</v>
      </c>
      <c r="J21">
        <v>0</v>
      </c>
      <c r="K21" t="s">
        <v>169</v>
      </c>
      <c r="L21" t="s">
        <v>241</v>
      </c>
      <c r="M21" t="s">
        <v>241</v>
      </c>
      <c r="N21" t="s">
        <v>225</v>
      </c>
      <c r="O21" t="s">
        <v>241</v>
      </c>
      <c r="P21" t="s">
        <v>241</v>
      </c>
      <c r="Q21" s="13" t="s">
        <v>941</v>
      </c>
      <c r="R21" s="11">
        <v>46088.140277777777</v>
      </c>
    </row>
    <row r="22" spans="1:18" x14ac:dyDescent="0.25">
      <c r="A22">
        <v>34</v>
      </c>
      <c r="B22" s="5">
        <v>46083</v>
      </c>
      <c r="C22" t="s">
        <v>51</v>
      </c>
      <c r="D22" t="s">
        <v>240</v>
      </c>
      <c r="E22" t="s">
        <v>53</v>
      </c>
      <c r="F22">
        <v>1</v>
      </c>
      <c r="G22">
        <v>0</v>
      </c>
      <c r="H22">
        <v>17</v>
      </c>
      <c r="I22">
        <v>0</v>
      </c>
      <c r="J22">
        <v>0</v>
      </c>
      <c r="K22" t="s">
        <v>14</v>
      </c>
      <c r="L22" t="s">
        <v>241</v>
      </c>
      <c r="M22" t="s">
        <v>241</v>
      </c>
      <c r="N22" t="s">
        <v>176</v>
      </c>
      <c r="O22" t="s">
        <v>241</v>
      </c>
      <c r="P22" t="s">
        <v>241</v>
      </c>
      <c r="Q22">
        <v>565265112</v>
      </c>
      <c r="R22" s="11">
        <v>46083.491666666669</v>
      </c>
    </row>
    <row r="23" spans="1:18" x14ac:dyDescent="0.25">
      <c r="A23">
        <v>35</v>
      </c>
      <c r="B23" s="5">
        <v>46083</v>
      </c>
      <c r="C23" t="s">
        <v>51</v>
      </c>
      <c r="D23" t="s">
        <v>237</v>
      </c>
      <c r="E23" t="s">
        <v>100</v>
      </c>
      <c r="F23">
        <v>2</v>
      </c>
      <c r="G23">
        <v>24</v>
      </c>
      <c r="H23">
        <v>0</v>
      </c>
      <c r="I23">
        <v>0</v>
      </c>
      <c r="J23">
        <v>0</v>
      </c>
      <c r="K23" t="s">
        <v>184</v>
      </c>
      <c r="L23" t="s">
        <v>241</v>
      </c>
      <c r="M23" t="s">
        <v>241</v>
      </c>
      <c r="N23" t="s">
        <v>176</v>
      </c>
      <c r="O23" t="s">
        <v>241</v>
      </c>
      <c r="P23" t="s">
        <v>241</v>
      </c>
      <c r="Q23">
        <v>568325418</v>
      </c>
      <c r="R23" s="11">
        <v>46083.744444444441</v>
      </c>
    </row>
    <row r="24" spans="1:18" x14ac:dyDescent="0.25">
      <c r="A24">
        <v>36</v>
      </c>
      <c r="B24" s="5">
        <v>46083</v>
      </c>
      <c r="C24" t="s">
        <v>51</v>
      </c>
      <c r="D24" t="s">
        <v>156</v>
      </c>
      <c r="E24" t="s">
        <v>53</v>
      </c>
      <c r="F24">
        <v>2</v>
      </c>
      <c r="G24">
        <v>6</v>
      </c>
      <c r="H24">
        <v>0</v>
      </c>
      <c r="I24">
        <v>0</v>
      </c>
      <c r="J24">
        <v>0</v>
      </c>
      <c r="K24" t="s">
        <v>177</v>
      </c>
      <c r="L24" t="s">
        <v>241</v>
      </c>
      <c r="M24" t="s">
        <v>241</v>
      </c>
      <c r="N24" t="s">
        <v>185</v>
      </c>
      <c r="O24" t="s">
        <v>241</v>
      </c>
      <c r="P24" t="s">
        <v>241</v>
      </c>
      <c r="Q24">
        <v>508656641</v>
      </c>
      <c r="R24" s="11">
        <v>46083.818749999999</v>
      </c>
    </row>
    <row r="25" spans="1:18" x14ac:dyDescent="0.25">
      <c r="A25">
        <v>37</v>
      </c>
      <c r="B25" s="5">
        <v>46083</v>
      </c>
      <c r="C25" t="s">
        <v>51</v>
      </c>
      <c r="D25" t="s">
        <v>156</v>
      </c>
      <c r="E25" t="s">
        <v>53</v>
      </c>
      <c r="F25">
        <v>2</v>
      </c>
      <c r="G25">
        <v>0</v>
      </c>
      <c r="H25">
        <v>0</v>
      </c>
      <c r="I25">
        <v>0</v>
      </c>
      <c r="J25">
        <v>0</v>
      </c>
      <c r="K25" t="s">
        <v>241</v>
      </c>
      <c r="L25" t="s">
        <v>241</v>
      </c>
      <c r="M25" t="s">
        <v>241</v>
      </c>
      <c r="N25" t="s">
        <v>241</v>
      </c>
      <c r="O25" t="s">
        <v>241</v>
      </c>
      <c r="P25" t="s">
        <v>241</v>
      </c>
      <c r="Q25">
        <v>508656641</v>
      </c>
      <c r="R25" s="11">
        <v>46083.818749999999</v>
      </c>
    </row>
    <row r="26" spans="1:18" x14ac:dyDescent="0.25">
      <c r="A26">
        <v>38</v>
      </c>
      <c r="B26" s="5">
        <v>46084</v>
      </c>
      <c r="C26" t="s">
        <v>51</v>
      </c>
      <c r="D26" t="s">
        <v>160</v>
      </c>
      <c r="E26" t="s">
        <v>53</v>
      </c>
      <c r="F26">
        <v>1</v>
      </c>
      <c r="G26">
        <v>0</v>
      </c>
      <c r="H26">
        <v>22</v>
      </c>
      <c r="I26">
        <v>0</v>
      </c>
      <c r="J26">
        <v>0</v>
      </c>
      <c r="K26" t="s">
        <v>178</v>
      </c>
      <c r="L26" t="s">
        <v>241</v>
      </c>
      <c r="M26" t="s">
        <v>241</v>
      </c>
      <c r="N26" t="s">
        <v>22</v>
      </c>
      <c r="O26" t="s">
        <v>241</v>
      </c>
      <c r="P26" t="s">
        <v>241</v>
      </c>
      <c r="Q26">
        <v>569007478</v>
      </c>
      <c r="R26" s="11">
        <v>46084.039583333331</v>
      </c>
    </row>
    <row r="27" spans="1:18" x14ac:dyDescent="0.25">
      <c r="A27">
        <v>39</v>
      </c>
      <c r="B27" s="5">
        <v>46083</v>
      </c>
      <c r="C27" t="s">
        <v>51</v>
      </c>
      <c r="D27" t="s">
        <v>154</v>
      </c>
      <c r="E27" t="s">
        <v>53</v>
      </c>
      <c r="F27">
        <v>2</v>
      </c>
      <c r="G27">
        <v>15</v>
      </c>
      <c r="H27">
        <v>0</v>
      </c>
      <c r="I27">
        <v>0</v>
      </c>
      <c r="J27">
        <v>0</v>
      </c>
      <c r="K27" t="s">
        <v>241</v>
      </c>
      <c r="L27" t="s">
        <v>241</v>
      </c>
      <c r="M27" t="s">
        <v>241</v>
      </c>
      <c r="N27" t="s">
        <v>189</v>
      </c>
      <c r="O27" t="s">
        <v>241</v>
      </c>
      <c r="P27" t="s">
        <v>241</v>
      </c>
      <c r="Q27">
        <v>509288074</v>
      </c>
      <c r="R27" s="11">
        <v>46084.125</v>
      </c>
    </row>
    <row r="28" spans="1:18" x14ac:dyDescent="0.25">
      <c r="A28">
        <v>40</v>
      </c>
      <c r="B28" s="5">
        <v>46084</v>
      </c>
      <c r="C28" t="s">
        <v>51</v>
      </c>
      <c r="D28" t="s">
        <v>154</v>
      </c>
      <c r="E28" t="s">
        <v>53</v>
      </c>
      <c r="F28">
        <v>2</v>
      </c>
      <c r="G28">
        <v>0</v>
      </c>
      <c r="H28">
        <v>0</v>
      </c>
      <c r="I28">
        <v>0</v>
      </c>
      <c r="J28">
        <v>0</v>
      </c>
      <c r="K28" t="s">
        <v>241</v>
      </c>
      <c r="L28" t="s">
        <v>241</v>
      </c>
      <c r="M28" t="s">
        <v>241</v>
      </c>
      <c r="N28" t="s">
        <v>189</v>
      </c>
      <c r="O28" t="s">
        <v>241</v>
      </c>
      <c r="P28" t="s">
        <v>241</v>
      </c>
      <c r="Q28">
        <v>509288074</v>
      </c>
      <c r="R28" s="11">
        <v>46084.125694444447</v>
      </c>
    </row>
    <row r="29" spans="1:18" x14ac:dyDescent="0.25">
      <c r="A29">
        <v>41</v>
      </c>
      <c r="B29" s="5">
        <v>46084</v>
      </c>
      <c r="C29" t="s">
        <v>51</v>
      </c>
      <c r="D29" t="s">
        <v>154</v>
      </c>
      <c r="E29" t="s">
        <v>53</v>
      </c>
      <c r="F29">
        <v>2</v>
      </c>
      <c r="G29">
        <v>0</v>
      </c>
      <c r="H29">
        <v>0</v>
      </c>
      <c r="I29">
        <v>0</v>
      </c>
      <c r="J29">
        <v>0</v>
      </c>
      <c r="K29" t="s">
        <v>189</v>
      </c>
      <c r="L29" t="s">
        <v>241</v>
      </c>
      <c r="M29" t="s">
        <v>241</v>
      </c>
      <c r="N29" t="s">
        <v>241</v>
      </c>
      <c r="O29" t="s">
        <v>241</v>
      </c>
      <c r="P29" t="s">
        <v>241</v>
      </c>
      <c r="Q29">
        <v>509288074</v>
      </c>
      <c r="R29" s="11">
        <v>46084.125694444447</v>
      </c>
    </row>
    <row r="30" spans="1:18" x14ac:dyDescent="0.25">
      <c r="A30">
        <v>42</v>
      </c>
      <c r="B30" s="5">
        <v>46085</v>
      </c>
      <c r="C30" t="s">
        <v>75</v>
      </c>
      <c r="D30" t="s">
        <v>158</v>
      </c>
      <c r="E30" t="s">
        <v>76</v>
      </c>
      <c r="F30">
        <v>2</v>
      </c>
      <c r="G30">
        <v>0</v>
      </c>
      <c r="H30">
        <v>4</v>
      </c>
      <c r="I30">
        <v>0</v>
      </c>
      <c r="J30">
        <v>0</v>
      </c>
      <c r="K30" t="s">
        <v>22</v>
      </c>
      <c r="L30" t="s">
        <v>241</v>
      </c>
      <c r="M30" t="s">
        <v>241</v>
      </c>
      <c r="N30" t="s">
        <v>23</v>
      </c>
      <c r="O30" t="s">
        <v>241</v>
      </c>
      <c r="P30" t="s">
        <v>241</v>
      </c>
      <c r="Q30" t="s">
        <v>244</v>
      </c>
      <c r="R30" s="11">
        <v>46085.472222222219</v>
      </c>
    </row>
    <row r="31" spans="1:18" x14ac:dyDescent="0.25">
      <c r="A31">
        <v>43</v>
      </c>
      <c r="B31" s="5">
        <v>46084</v>
      </c>
      <c r="C31" t="s">
        <v>51</v>
      </c>
      <c r="D31" t="s">
        <v>157</v>
      </c>
      <c r="E31" t="s">
        <v>53</v>
      </c>
      <c r="F31">
        <v>2</v>
      </c>
      <c r="G31">
        <v>0</v>
      </c>
      <c r="H31">
        <v>13</v>
      </c>
      <c r="I31">
        <v>0</v>
      </c>
      <c r="J31">
        <v>0</v>
      </c>
      <c r="K31" t="s">
        <v>11</v>
      </c>
      <c r="L31" t="s">
        <v>241</v>
      </c>
      <c r="M31" t="s">
        <v>241</v>
      </c>
      <c r="N31" t="s">
        <v>241</v>
      </c>
      <c r="O31" t="s">
        <v>241</v>
      </c>
      <c r="P31" t="s">
        <v>241</v>
      </c>
      <c r="Q31">
        <v>504227514</v>
      </c>
      <c r="R31" s="11">
        <v>46085.475694444445</v>
      </c>
    </row>
    <row r="32" spans="1:18" x14ac:dyDescent="0.25">
      <c r="A32">
        <v>44</v>
      </c>
      <c r="B32" s="5">
        <v>46085</v>
      </c>
      <c r="C32" t="s">
        <v>51</v>
      </c>
      <c r="D32" t="s">
        <v>154</v>
      </c>
      <c r="E32" t="s">
        <v>53</v>
      </c>
      <c r="F32">
        <v>3</v>
      </c>
      <c r="G32">
        <v>11</v>
      </c>
      <c r="H32">
        <v>0</v>
      </c>
      <c r="I32">
        <v>0</v>
      </c>
      <c r="J32">
        <v>0</v>
      </c>
      <c r="K32" t="s">
        <v>245</v>
      </c>
      <c r="L32" t="s">
        <v>241</v>
      </c>
      <c r="M32" t="s">
        <v>241</v>
      </c>
      <c r="N32" t="s">
        <v>213</v>
      </c>
      <c r="O32" t="s">
        <v>241</v>
      </c>
      <c r="P32" t="s">
        <v>241</v>
      </c>
      <c r="Q32">
        <v>509288074</v>
      </c>
      <c r="R32" s="11">
        <v>46085.510416666664</v>
      </c>
    </row>
    <row r="33" spans="1:18" x14ac:dyDescent="0.25">
      <c r="A33">
        <v>45</v>
      </c>
      <c r="B33" s="5">
        <v>46085</v>
      </c>
      <c r="C33" t="s">
        <v>51</v>
      </c>
      <c r="D33" t="s">
        <v>154</v>
      </c>
      <c r="E33" t="s">
        <v>53</v>
      </c>
      <c r="F33">
        <v>3</v>
      </c>
      <c r="G33">
        <v>0</v>
      </c>
      <c r="H33">
        <v>0</v>
      </c>
      <c r="I33">
        <v>0</v>
      </c>
      <c r="J33">
        <v>0</v>
      </c>
      <c r="K33" t="s">
        <v>241</v>
      </c>
      <c r="L33" t="s">
        <v>241</v>
      </c>
      <c r="M33" t="s">
        <v>241</v>
      </c>
      <c r="N33" t="s">
        <v>241</v>
      </c>
      <c r="O33" t="s">
        <v>241</v>
      </c>
      <c r="P33" t="s">
        <v>241</v>
      </c>
      <c r="Q33">
        <v>509288074</v>
      </c>
      <c r="R33" s="11">
        <v>46085.510416666664</v>
      </c>
    </row>
    <row r="34" spans="1:18" x14ac:dyDescent="0.25">
      <c r="A34">
        <v>66</v>
      </c>
      <c r="B34" s="5">
        <v>46088</v>
      </c>
      <c r="C34" t="s">
        <v>51</v>
      </c>
      <c r="D34" t="s">
        <v>82</v>
      </c>
      <c r="E34" t="s">
        <v>53</v>
      </c>
      <c r="F34">
        <v>3</v>
      </c>
      <c r="G34">
        <v>15</v>
      </c>
      <c r="H34">
        <v>0</v>
      </c>
      <c r="I34">
        <v>0</v>
      </c>
      <c r="J34">
        <v>0</v>
      </c>
      <c r="K34" t="s">
        <v>14</v>
      </c>
      <c r="L34" t="s">
        <v>241</v>
      </c>
      <c r="M34" t="s">
        <v>241</v>
      </c>
      <c r="N34" t="s">
        <v>232</v>
      </c>
      <c r="O34" t="s">
        <v>241</v>
      </c>
      <c r="P34" t="s">
        <v>241</v>
      </c>
      <c r="Q34">
        <v>565265112</v>
      </c>
      <c r="R34" s="11">
        <v>46088.623611111114</v>
      </c>
    </row>
    <row r="35" spans="1:18" x14ac:dyDescent="0.25">
      <c r="A35">
        <v>67</v>
      </c>
      <c r="B35" s="5">
        <v>46088</v>
      </c>
      <c r="C35" t="s">
        <v>51</v>
      </c>
      <c r="D35" t="s">
        <v>156</v>
      </c>
      <c r="E35" t="s">
        <v>53</v>
      </c>
      <c r="F35">
        <v>2</v>
      </c>
      <c r="G35">
        <v>7</v>
      </c>
      <c r="H35">
        <v>0</v>
      </c>
      <c r="I35">
        <v>0</v>
      </c>
      <c r="J35">
        <v>0</v>
      </c>
      <c r="K35" t="s">
        <v>177</v>
      </c>
      <c r="L35" t="s">
        <v>241</v>
      </c>
      <c r="M35" t="s">
        <v>241</v>
      </c>
      <c r="N35" t="s">
        <v>185</v>
      </c>
      <c r="O35" t="s">
        <v>241</v>
      </c>
      <c r="P35" t="s">
        <v>241</v>
      </c>
      <c r="Q35">
        <v>508656641</v>
      </c>
      <c r="R35" s="11">
        <v>46088.62777777778</v>
      </c>
    </row>
    <row r="36" spans="1:18" x14ac:dyDescent="0.25">
      <c r="A36">
        <v>68</v>
      </c>
      <c r="B36" s="5">
        <v>46087</v>
      </c>
      <c r="C36" t="s">
        <v>51</v>
      </c>
      <c r="D36" t="s">
        <v>156</v>
      </c>
      <c r="E36" t="s">
        <v>53</v>
      </c>
      <c r="F36">
        <v>2</v>
      </c>
      <c r="G36">
        <v>7</v>
      </c>
      <c r="H36">
        <v>0</v>
      </c>
      <c r="I36">
        <v>0</v>
      </c>
      <c r="J36">
        <v>0</v>
      </c>
      <c r="K36" t="s">
        <v>215</v>
      </c>
      <c r="L36" t="s">
        <v>241</v>
      </c>
      <c r="M36" t="s">
        <v>241</v>
      </c>
      <c r="N36" t="s">
        <v>216</v>
      </c>
      <c r="O36" t="s">
        <v>241</v>
      </c>
      <c r="P36" t="s">
        <v>241</v>
      </c>
      <c r="Q36">
        <v>553285621</v>
      </c>
      <c r="R36" s="11">
        <v>46088.944444444445</v>
      </c>
    </row>
    <row r="37" spans="1:18" x14ac:dyDescent="0.25">
      <c r="A37">
        <v>69</v>
      </c>
      <c r="B37" s="5">
        <v>46088</v>
      </c>
      <c r="C37" t="s">
        <v>51</v>
      </c>
      <c r="D37" t="s">
        <v>156</v>
      </c>
      <c r="E37" t="s">
        <v>53</v>
      </c>
      <c r="F37">
        <v>2</v>
      </c>
      <c r="G37">
        <v>7</v>
      </c>
      <c r="H37">
        <v>0</v>
      </c>
      <c r="I37">
        <v>0</v>
      </c>
      <c r="J37">
        <v>0</v>
      </c>
      <c r="K37" t="s">
        <v>215</v>
      </c>
      <c r="L37" t="s">
        <v>241</v>
      </c>
      <c r="M37" t="s">
        <v>241</v>
      </c>
      <c r="N37" t="s">
        <v>216</v>
      </c>
      <c r="O37" t="s">
        <v>241</v>
      </c>
      <c r="P37" t="s">
        <v>241</v>
      </c>
      <c r="Q37">
        <v>553285621</v>
      </c>
      <c r="R37" s="11">
        <v>46088.945833333331</v>
      </c>
    </row>
    <row r="38" spans="1:18" x14ac:dyDescent="0.25">
      <c r="A38">
        <v>70</v>
      </c>
      <c r="B38" s="5">
        <v>46089</v>
      </c>
      <c r="C38" t="s">
        <v>51</v>
      </c>
      <c r="D38" t="s">
        <v>82</v>
      </c>
      <c r="E38" t="s">
        <v>53</v>
      </c>
      <c r="F38">
        <v>3</v>
      </c>
      <c r="G38">
        <v>20</v>
      </c>
      <c r="H38">
        <v>5</v>
      </c>
      <c r="I38">
        <v>0</v>
      </c>
      <c r="J38">
        <v>0</v>
      </c>
      <c r="K38" t="s">
        <v>178</v>
      </c>
      <c r="L38" t="s">
        <v>241</v>
      </c>
      <c r="M38" t="s">
        <v>241</v>
      </c>
      <c r="N38" t="s">
        <v>217</v>
      </c>
      <c r="O38" t="s">
        <v>241</v>
      </c>
      <c r="P38" t="s">
        <v>241</v>
      </c>
      <c r="Q38">
        <v>569007478</v>
      </c>
      <c r="R38" s="11">
        <v>46088.999305555553</v>
      </c>
    </row>
    <row r="39" spans="1:18" x14ac:dyDescent="0.25">
      <c r="A39">
        <v>71</v>
      </c>
      <c r="B39" s="5">
        <v>46088</v>
      </c>
      <c r="C39" t="s">
        <v>51</v>
      </c>
      <c r="D39" t="s">
        <v>157</v>
      </c>
      <c r="E39" t="s">
        <v>53</v>
      </c>
      <c r="F39">
        <v>2</v>
      </c>
      <c r="G39">
        <v>0</v>
      </c>
      <c r="H39">
        <v>5</v>
      </c>
      <c r="I39">
        <v>0</v>
      </c>
      <c r="J39">
        <v>1</v>
      </c>
      <c r="K39" t="s">
        <v>11</v>
      </c>
      <c r="L39" t="s">
        <v>241</v>
      </c>
      <c r="M39" t="s">
        <v>241</v>
      </c>
      <c r="N39" t="s">
        <v>220</v>
      </c>
      <c r="O39" t="s">
        <v>241</v>
      </c>
      <c r="P39" t="s">
        <v>241</v>
      </c>
      <c r="Q39">
        <v>504227514</v>
      </c>
      <c r="R39" s="11">
        <v>46089.018750000003</v>
      </c>
    </row>
    <row r="40" spans="1:18" x14ac:dyDescent="0.25">
      <c r="A40">
        <v>72</v>
      </c>
      <c r="B40" s="5">
        <v>46088</v>
      </c>
      <c r="C40" t="s">
        <v>75</v>
      </c>
      <c r="D40" t="s">
        <v>102</v>
      </c>
      <c r="E40" t="s">
        <v>76</v>
      </c>
      <c r="F40">
        <v>2</v>
      </c>
      <c r="G40">
        <v>0</v>
      </c>
      <c r="H40">
        <v>6</v>
      </c>
      <c r="I40">
        <v>0</v>
      </c>
      <c r="J40">
        <v>3</v>
      </c>
      <c r="K40" t="s">
        <v>180</v>
      </c>
      <c r="L40" t="s">
        <v>182</v>
      </c>
      <c r="M40" t="s">
        <v>241</v>
      </c>
      <c r="N40" t="s">
        <v>233</v>
      </c>
      <c r="O40" t="s">
        <v>20</v>
      </c>
      <c r="P40" t="s">
        <v>241</v>
      </c>
      <c r="Q40">
        <v>54227695</v>
      </c>
      <c r="R40" s="11">
        <v>46089.052083333336</v>
      </c>
    </row>
    <row r="41" spans="1:18" x14ac:dyDescent="0.25">
      <c r="A41">
        <v>73</v>
      </c>
      <c r="B41" s="5">
        <v>46088</v>
      </c>
      <c r="C41" t="s">
        <v>51</v>
      </c>
      <c r="D41" t="s">
        <v>82</v>
      </c>
      <c r="E41" t="s">
        <v>53</v>
      </c>
      <c r="F41">
        <v>3</v>
      </c>
      <c r="G41">
        <v>0</v>
      </c>
      <c r="H41">
        <v>17</v>
      </c>
      <c r="I41">
        <v>0</v>
      </c>
      <c r="J41">
        <v>0</v>
      </c>
      <c r="K41" t="s">
        <v>245</v>
      </c>
      <c r="L41" t="s">
        <v>241</v>
      </c>
      <c r="M41" t="s">
        <v>241</v>
      </c>
      <c r="N41" t="s">
        <v>213</v>
      </c>
      <c r="O41" t="s">
        <v>241</v>
      </c>
      <c r="P41" t="s">
        <v>241</v>
      </c>
      <c r="Q41">
        <v>509288074</v>
      </c>
      <c r="R41" s="11">
        <v>46089.709027777775</v>
      </c>
    </row>
    <row r="42" spans="1:18" x14ac:dyDescent="0.25">
      <c r="A42">
        <v>74</v>
      </c>
      <c r="B42" s="5">
        <v>46089</v>
      </c>
      <c r="C42" t="s">
        <v>75</v>
      </c>
      <c r="D42" t="s">
        <v>102</v>
      </c>
      <c r="E42" t="s">
        <v>76</v>
      </c>
      <c r="F42">
        <v>2</v>
      </c>
      <c r="G42">
        <v>20</v>
      </c>
      <c r="H42">
        <v>0</v>
      </c>
      <c r="I42">
        <v>0</v>
      </c>
      <c r="J42">
        <v>0</v>
      </c>
      <c r="K42" t="s">
        <v>245</v>
      </c>
      <c r="L42" t="s">
        <v>241</v>
      </c>
      <c r="M42" t="s">
        <v>241</v>
      </c>
      <c r="N42" t="s">
        <v>213</v>
      </c>
      <c r="O42" t="s">
        <v>241</v>
      </c>
      <c r="P42" t="s">
        <v>241</v>
      </c>
      <c r="Q42">
        <v>509288074</v>
      </c>
      <c r="R42" s="11">
        <v>46089.709722222222</v>
      </c>
    </row>
    <row r="43" spans="1:18" x14ac:dyDescent="0.25">
      <c r="A43">
        <v>61</v>
      </c>
      <c r="B43" s="5">
        <v>46087</v>
      </c>
      <c r="C43" t="s">
        <v>51</v>
      </c>
      <c r="D43" t="s">
        <v>82</v>
      </c>
      <c r="E43" t="s">
        <v>53</v>
      </c>
      <c r="F43">
        <v>3</v>
      </c>
      <c r="G43">
        <v>0</v>
      </c>
      <c r="H43">
        <v>0</v>
      </c>
      <c r="I43">
        <v>0</v>
      </c>
      <c r="J43">
        <v>0</v>
      </c>
      <c r="K43" t="s">
        <v>241</v>
      </c>
      <c r="L43" t="s">
        <v>241</v>
      </c>
      <c r="M43" t="s">
        <v>241</v>
      </c>
      <c r="N43" t="s">
        <v>241</v>
      </c>
      <c r="O43" t="s">
        <v>241</v>
      </c>
      <c r="P43" t="s">
        <v>241</v>
      </c>
      <c r="Q43">
        <v>509288074</v>
      </c>
      <c r="R43" s="11">
        <v>46087.878472222219</v>
      </c>
    </row>
    <row r="44" spans="1:18" x14ac:dyDescent="0.25">
      <c r="A44">
        <v>62</v>
      </c>
      <c r="B44" s="5">
        <v>46087</v>
      </c>
      <c r="C44" t="s">
        <v>51</v>
      </c>
      <c r="D44" t="s">
        <v>157</v>
      </c>
      <c r="E44" t="s">
        <v>53</v>
      </c>
      <c r="F44">
        <v>2</v>
      </c>
      <c r="G44">
        <v>3</v>
      </c>
      <c r="H44">
        <v>0</v>
      </c>
      <c r="I44">
        <v>0</v>
      </c>
      <c r="J44">
        <v>2</v>
      </c>
      <c r="K44" t="s">
        <v>11</v>
      </c>
      <c r="L44" t="s">
        <v>241</v>
      </c>
      <c r="M44" t="s">
        <v>241</v>
      </c>
      <c r="N44" t="s">
        <v>220</v>
      </c>
      <c r="O44" t="s">
        <v>241</v>
      </c>
      <c r="P44" t="s">
        <v>241</v>
      </c>
      <c r="Q44">
        <v>504227514</v>
      </c>
      <c r="R44" s="11">
        <v>46087.929166666669</v>
      </c>
    </row>
    <row r="45" spans="1:18" x14ac:dyDescent="0.25">
      <c r="A45">
        <v>63</v>
      </c>
      <c r="B45" s="5">
        <v>46087</v>
      </c>
      <c r="C45" t="s">
        <v>75</v>
      </c>
      <c r="D45" t="s">
        <v>102</v>
      </c>
      <c r="E45" t="s">
        <v>76</v>
      </c>
      <c r="F45">
        <v>2</v>
      </c>
      <c r="G45">
        <v>0</v>
      </c>
      <c r="H45">
        <v>14</v>
      </c>
      <c r="I45">
        <v>0</v>
      </c>
      <c r="J45">
        <v>2</v>
      </c>
      <c r="K45" t="s">
        <v>180</v>
      </c>
      <c r="L45" t="s">
        <v>182</v>
      </c>
      <c r="M45" t="s">
        <v>241</v>
      </c>
      <c r="N45" t="s">
        <v>233</v>
      </c>
      <c r="O45" t="s">
        <v>20</v>
      </c>
      <c r="P45" t="s">
        <v>241</v>
      </c>
      <c r="Q45">
        <v>54227695</v>
      </c>
      <c r="R45" s="11">
        <v>46088.008333333331</v>
      </c>
    </row>
    <row r="46" spans="1:18" x14ac:dyDescent="0.25">
      <c r="A46">
        <v>64</v>
      </c>
      <c r="B46" s="5">
        <v>46088</v>
      </c>
      <c r="C46" t="s">
        <v>51</v>
      </c>
      <c r="D46" t="s">
        <v>82</v>
      </c>
      <c r="E46" t="s">
        <v>53</v>
      </c>
      <c r="F46">
        <v>3</v>
      </c>
      <c r="G46">
        <v>0</v>
      </c>
      <c r="H46">
        <v>8</v>
      </c>
      <c r="I46">
        <v>0</v>
      </c>
      <c r="J46">
        <v>1</v>
      </c>
      <c r="K46" t="s">
        <v>178</v>
      </c>
      <c r="L46" t="s">
        <v>241</v>
      </c>
      <c r="M46" t="s">
        <v>241</v>
      </c>
      <c r="N46" t="s">
        <v>217</v>
      </c>
      <c r="O46" t="s">
        <v>241</v>
      </c>
      <c r="P46" t="s">
        <v>241</v>
      </c>
      <c r="Q46">
        <v>569007478</v>
      </c>
      <c r="R46" s="11">
        <v>46088.022222222222</v>
      </c>
    </row>
    <row r="47" spans="1:18" x14ac:dyDescent="0.25">
      <c r="A47">
        <v>65</v>
      </c>
      <c r="B47" s="5">
        <v>46087</v>
      </c>
      <c r="C47" t="s">
        <v>75</v>
      </c>
      <c r="D47" t="s">
        <v>158</v>
      </c>
      <c r="E47" t="s">
        <v>76</v>
      </c>
      <c r="F47">
        <v>2</v>
      </c>
      <c r="G47">
        <v>9</v>
      </c>
      <c r="H47">
        <v>0</v>
      </c>
      <c r="I47">
        <v>0</v>
      </c>
      <c r="J47">
        <v>0</v>
      </c>
      <c r="K47" t="s">
        <v>169</v>
      </c>
      <c r="L47" t="s">
        <v>241</v>
      </c>
      <c r="M47" t="s">
        <v>241</v>
      </c>
      <c r="N47" t="s">
        <v>225</v>
      </c>
      <c r="O47" t="s">
        <v>241</v>
      </c>
      <c r="P47" t="s">
        <v>241</v>
      </c>
      <c r="Q47">
        <v>504220516</v>
      </c>
      <c r="R47" s="11">
        <v>46088.140277777777</v>
      </c>
    </row>
    <row r="48" spans="1:18" x14ac:dyDescent="0.25">
      <c r="A48">
        <v>66</v>
      </c>
      <c r="B48" s="5">
        <v>46088</v>
      </c>
      <c r="C48" t="s">
        <v>51</v>
      </c>
      <c r="D48" t="s">
        <v>82</v>
      </c>
      <c r="E48" t="s">
        <v>53</v>
      </c>
      <c r="F48">
        <v>3</v>
      </c>
      <c r="G48">
        <v>15</v>
      </c>
      <c r="H48">
        <v>0</v>
      </c>
      <c r="I48">
        <v>0</v>
      </c>
      <c r="J48">
        <v>0</v>
      </c>
      <c r="K48" t="s">
        <v>14</v>
      </c>
      <c r="L48" t="s">
        <v>241</v>
      </c>
      <c r="M48" t="s">
        <v>241</v>
      </c>
      <c r="N48" t="s">
        <v>232</v>
      </c>
      <c r="O48" t="s">
        <v>241</v>
      </c>
      <c r="P48" t="s">
        <v>241</v>
      </c>
      <c r="Q48">
        <v>565265112</v>
      </c>
      <c r="R48" s="11">
        <v>46088.623611111114</v>
      </c>
    </row>
    <row r="49" spans="1:18" x14ac:dyDescent="0.25">
      <c r="A49">
        <v>67</v>
      </c>
      <c r="B49" s="5">
        <v>46088</v>
      </c>
      <c r="C49" t="s">
        <v>51</v>
      </c>
      <c r="D49" t="s">
        <v>156</v>
      </c>
      <c r="E49" t="s">
        <v>53</v>
      </c>
      <c r="F49">
        <v>2</v>
      </c>
      <c r="G49">
        <v>7</v>
      </c>
      <c r="H49">
        <v>0</v>
      </c>
      <c r="I49">
        <v>0</v>
      </c>
      <c r="J49">
        <v>0</v>
      </c>
      <c r="K49" t="s">
        <v>177</v>
      </c>
      <c r="L49" t="s">
        <v>241</v>
      </c>
      <c r="M49" t="s">
        <v>241</v>
      </c>
      <c r="N49" t="s">
        <v>185</v>
      </c>
      <c r="O49" t="s">
        <v>241</v>
      </c>
      <c r="P49" t="s">
        <v>241</v>
      </c>
      <c r="Q49">
        <v>508656641</v>
      </c>
      <c r="R49" s="11">
        <v>46088.62777777778</v>
      </c>
    </row>
    <row r="50" spans="1:18" x14ac:dyDescent="0.25">
      <c r="A50">
        <v>68</v>
      </c>
      <c r="B50" s="5">
        <v>46087</v>
      </c>
      <c r="C50" t="s">
        <v>51</v>
      </c>
      <c r="D50" t="s">
        <v>156</v>
      </c>
      <c r="E50" t="s">
        <v>53</v>
      </c>
      <c r="F50">
        <v>2</v>
      </c>
      <c r="G50">
        <v>7</v>
      </c>
      <c r="H50">
        <v>0</v>
      </c>
      <c r="I50">
        <v>0</v>
      </c>
      <c r="J50">
        <v>0</v>
      </c>
      <c r="K50" t="s">
        <v>215</v>
      </c>
      <c r="L50" t="s">
        <v>241</v>
      </c>
      <c r="M50" t="s">
        <v>241</v>
      </c>
      <c r="N50" t="s">
        <v>216</v>
      </c>
      <c r="O50" t="s">
        <v>241</v>
      </c>
      <c r="P50" t="s">
        <v>241</v>
      </c>
      <c r="Q50">
        <v>553285621</v>
      </c>
      <c r="R50" s="11">
        <v>46088.944444444445</v>
      </c>
    </row>
    <row r="51" spans="1:18" x14ac:dyDescent="0.25">
      <c r="A51">
        <v>69</v>
      </c>
      <c r="B51" s="5">
        <v>46088</v>
      </c>
      <c r="C51" t="s">
        <v>51</v>
      </c>
      <c r="D51" t="s">
        <v>156</v>
      </c>
      <c r="E51" t="s">
        <v>53</v>
      </c>
      <c r="F51">
        <v>2</v>
      </c>
      <c r="G51">
        <v>7</v>
      </c>
      <c r="H51">
        <v>0</v>
      </c>
      <c r="I51">
        <v>0</v>
      </c>
      <c r="J51">
        <v>0</v>
      </c>
      <c r="K51" t="s">
        <v>215</v>
      </c>
      <c r="L51" t="s">
        <v>241</v>
      </c>
      <c r="M51" t="s">
        <v>241</v>
      </c>
      <c r="N51" t="s">
        <v>216</v>
      </c>
      <c r="O51" t="s">
        <v>241</v>
      </c>
      <c r="P51" t="s">
        <v>241</v>
      </c>
      <c r="Q51">
        <v>553285621</v>
      </c>
      <c r="R51" s="11">
        <v>46088.945833333331</v>
      </c>
    </row>
    <row r="52" spans="1:18" x14ac:dyDescent="0.25">
      <c r="A52">
        <v>70</v>
      </c>
      <c r="B52" s="5">
        <v>46089</v>
      </c>
      <c r="C52" t="s">
        <v>51</v>
      </c>
      <c r="D52" t="s">
        <v>82</v>
      </c>
      <c r="E52" t="s">
        <v>53</v>
      </c>
      <c r="F52">
        <v>3</v>
      </c>
      <c r="G52">
        <v>20</v>
      </c>
      <c r="H52">
        <v>5</v>
      </c>
      <c r="I52">
        <v>0</v>
      </c>
      <c r="J52">
        <v>0</v>
      </c>
      <c r="K52" t="s">
        <v>178</v>
      </c>
      <c r="L52" t="s">
        <v>241</v>
      </c>
      <c r="M52" t="s">
        <v>241</v>
      </c>
      <c r="N52" t="s">
        <v>217</v>
      </c>
      <c r="O52" t="s">
        <v>241</v>
      </c>
      <c r="P52" t="s">
        <v>241</v>
      </c>
      <c r="Q52">
        <v>569007478</v>
      </c>
      <c r="R52" s="11">
        <v>46088.999305555553</v>
      </c>
    </row>
    <row r="53" spans="1:18" x14ac:dyDescent="0.25">
      <c r="A53">
        <v>71</v>
      </c>
      <c r="B53" s="5">
        <v>46088</v>
      </c>
      <c r="C53" t="s">
        <v>51</v>
      </c>
      <c r="D53" t="s">
        <v>157</v>
      </c>
      <c r="E53" t="s">
        <v>53</v>
      </c>
      <c r="F53">
        <v>2</v>
      </c>
      <c r="G53">
        <v>0</v>
      </c>
      <c r="H53">
        <v>5</v>
      </c>
      <c r="I53">
        <v>0</v>
      </c>
      <c r="J53">
        <v>1</v>
      </c>
      <c r="K53" t="s">
        <v>11</v>
      </c>
      <c r="L53" t="s">
        <v>241</v>
      </c>
      <c r="M53" t="s">
        <v>241</v>
      </c>
      <c r="N53" t="s">
        <v>220</v>
      </c>
      <c r="O53" t="s">
        <v>241</v>
      </c>
      <c r="P53" t="s">
        <v>241</v>
      </c>
      <c r="Q53">
        <v>504227514</v>
      </c>
      <c r="R53" s="11">
        <v>46089.018750000003</v>
      </c>
    </row>
    <row r="54" spans="1:18" x14ac:dyDescent="0.25">
      <c r="A54">
        <v>72</v>
      </c>
      <c r="B54" s="5">
        <v>46088</v>
      </c>
      <c r="C54" t="s">
        <v>75</v>
      </c>
      <c r="D54" t="s">
        <v>102</v>
      </c>
      <c r="E54" t="s">
        <v>76</v>
      </c>
      <c r="F54">
        <v>2</v>
      </c>
      <c r="G54">
        <v>0</v>
      </c>
      <c r="H54">
        <v>6</v>
      </c>
      <c r="I54">
        <v>0</v>
      </c>
      <c r="J54">
        <v>3</v>
      </c>
      <c r="K54" t="s">
        <v>180</v>
      </c>
      <c r="L54" t="s">
        <v>182</v>
      </c>
      <c r="M54" t="s">
        <v>241</v>
      </c>
      <c r="N54" t="s">
        <v>233</v>
      </c>
      <c r="O54" t="s">
        <v>20</v>
      </c>
      <c r="P54" t="s">
        <v>241</v>
      </c>
      <c r="Q54">
        <v>54227695</v>
      </c>
      <c r="R54" s="11">
        <v>46089.052083333336</v>
      </c>
    </row>
    <row r="55" spans="1:18" x14ac:dyDescent="0.25">
      <c r="A55">
        <v>73</v>
      </c>
      <c r="B55" s="5">
        <v>46088</v>
      </c>
      <c r="C55" t="s">
        <v>51</v>
      </c>
      <c r="D55" t="s">
        <v>82</v>
      </c>
      <c r="E55" t="s">
        <v>53</v>
      </c>
      <c r="F55">
        <v>3</v>
      </c>
      <c r="G55">
        <v>0</v>
      </c>
      <c r="H55">
        <v>17</v>
      </c>
      <c r="I55">
        <v>0</v>
      </c>
      <c r="J55">
        <v>0</v>
      </c>
      <c r="K55" t="s">
        <v>245</v>
      </c>
      <c r="L55" t="s">
        <v>241</v>
      </c>
      <c r="M55" t="s">
        <v>241</v>
      </c>
      <c r="N55" t="s">
        <v>213</v>
      </c>
      <c r="O55" t="s">
        <v>241</v>
      </c>
      <c r="P55" t="s">
        <v>241</v>
      </c>
      <c r="Q55">
        <v>509288074</v>
      </c>
      <c r="R55" s="11">
        <v>46089.709027777775</v>
      </c>
    </row>
    <row r="56" spans="1:18" x14ac:dyDescent="0.25">
      <c r="A56">
        <v>74</v>
      </c>
      <c r="B56" s="5">
        <v>46089</v>
      </c>
      <c r="C56" t="s">
        <v>75</v>
      </c>
      <c r="D56" t="s">
        <v>102</v>
      </c>
      <c r="E56" t="s">
        <v>76</v>
      </c>
      <c r="F56">
        <v>2</v>
      </c>
      <c r="G56">
        <v>20</v>
      </c>
      <c r="H56">
        <v>0</v>
      </c>
      <c r="I56">
        <v>0</v>
      </c>
      <c r="J56">
        <v>0</v>
      </c>
      <c r="K56" t="s">
        <v>245</v>
      </c>
      <c r="L56" t="s">
        <v>241</v>
      </c>
      <c r="M56" t="s">
        <v>241</v>
      </c>
      <c r="N56" t="s">
        <v>213</v>
      </c>
      <c r="O56" t="s">
        <v>241</v>
      </c>
      <c r="P56" t="s">
        <v>241</v>
      </c>
      <c r="Q56">
        <v>509288074</v>
      </c>
      <c r="R56" s="11">
        <v>46089.709722222222</v>
      </c>
    </row>
    <row r="57" spans="1:18" x14ac:dyDescent="0.25">
      <c r="A57">
        <v>75</v>
      </c>
      <c r="B57" s="5">
        <v>46089</v>
      </c>
      <c r="C57" t="s">
        <v>75</v>
      </c>
      <c r="D57" t="s">
        <v>158</v>
      </c>
      <c r="E57" t="s">
        <v>76</v>
      </c>
      <c r="F57">
        <v>2</v>
      </c>
      <c r="G57">
        <v>2</v>
      </c>
      <c r="H57">
        <v>4</v>
      </c>
      <c r="I57">
        <v>0</v>
      </c>
      <c r="J57">
        <v>2</v>
      </c>
      <c r="K57" t="s">
        <v>169</v>
      </c>
      <c r="L57" t="s">
        <v>22</v>
      </c>
      <c r="M57" t="s">
        <v>241</v>
      </c>
      <c r="N57" t="s">
        <v>225</v>
      </c>
      <c r="O57" t="s">
        <v>241</v>
      </c>
      <c r="P57" t="s">
        <v>241</v>
      </c>
      <c r="Q57">
        <v>504220516</v>
      </c>
      <c r="R57" s="11">
        <v>46090.165277777778</v>
      </c>
    </row>
    <row r="58" spans="1:18" x14ac:dyDescent="0.25">
      <c r="A58">
        <v>76</v>
      </c>
      <c r="B58" s="5">
        <v>46090</v>
      </c>
      <c r="C58" t="s">
        <v>51</v>
      </c>
      <c r="D58" t="s">
        <v>113</v>
      </c>
      <c r="E58" t="s">
        <v>53</v>
      </c>
      <c r="F58">
        <v>2</v>
      </c>
      <c r="G58">
        <v>20</v>
      </c>
      <c r="H58">
        <v>0</v>
      </c>
      <c r="I58">
        <v>0</v>
      </c>
      <c r="J58">
        <v>0</v>
      </c>
      <c r="K58" t="s">
        <v>15</v>
      </c>
      <c r="L58" t="s">
        <v>241</v>
      </c>
      <c r="M58" t="s">
        <v>241</v>
      </c>
      <c r="N58" t="s">
        <v>231</v>
      </c>
      <c r="O58" t="s">
        <v>241</v>
      </c>
      <c r="P58" t="s">
        <v>241</v>
      </c>
      <c r="Q58">
        <v>504220356</v>
      </c>
      <c r="R58" s="11">
        <v>46090.473611111112</v>
      </c>
    </row>
    <row r="59" spans="1:18" x14ac:dyDescent="0.25">
      <c r="A59">
        <v>77</v>
      </c>
      <c r="B59" s="5">
        <v>46090</v>
      </c>
      <c r="C59" t="s">
        <v>51</v>
      </c>
      <c r="D59" t="s">
        <v>156</v>
      </c>
      <c r="E59" t="s">
        <v>53</v>
      </c>
      <c r="F59">
        <v>2</v>
      </c>
      <c r="G59">
        <v>9</v>
      </c>
      <c r="H59">
        <v>0</v>
      </c>
      <c r="I59">
        <v>0</v>
      </c>
      <c r="J59">
        <v>0</v>
      </c>
      <c r="K59" t="s">
        <v>177</v>
      </c>
      <c r="L59" t="s">
        <v>241</v>
      </c>
      <c r="M59" t="s">
        <v>241</v>
      </c>
      <c r="N59" t="s">
        <v>185</v>
      </c>
      <c r="O59" t="s">
        <v>241</v>
      </c>
      <c r="P59" t="s">
        <v>241</v>
      </c>
      <c r="Q59">
        <v>508656641</v>
      </c>
      <c r="R59" s="11">
        <v>46090.523611111108</v>
      </c>
    </row>
    <row r="60" spans="1:18" x14ac:dyDescent="0.25">
      <c r="A60">
        <v>78</v>
      </c>
      <c r="B60" s="5">
        <v>46090</v>
      </c>
      <c r="C60" t="s">
        <v>51</v>
      </c>
      <c r="D60" t="s">
        <v>137</v>
      </c>
      <c r="E60" t="s">
        <v>53</v>
      </c>
      <c r="F60">
        <v>1</v>
      </c>
      <c r="G60">
        <v>0</v>
      </c>
      <c r="H60">
        <v>15</v>
      </c>
      <c r="I60">
        <v>0</v>
      </c>
      <c r="J60">
        <v>0</v>
      </c>
      <c r="K60" t="s">
        <v>13</v>
      </c>
      <c r="L60" t="s">
        <v>241</v>
      </c>
      <c r="M60" t="s">
        <v>241</v>
      </c>
      <c r="N60" t="s">
        <v>230</v>
      </c>
      <c r="O60" t="s">
        <v>241</v>
      </c>
      <c r="P60" t="s">
        <v>241</v>
      </c>
      <c r="Q60">
        <v>504220356</v>
      </c>
      <c r="R60" s="11">
        <v>46090.544444444444</v>
      </c>
    </row>
    <row r="61" spans="1:18" x14ac:dyDescent="0.25">
      <c r="A61">
        <v>79</v>
      </c>
      <c r="B61" s="5">
        <v>46089</v>
      </c>
      <c r="C61" t="s">
        <v>75</v>
      </c>
      <c r="D61" t="s">
        <v>158</v>
      </c>
      <c r="E61" t="s">
        <v>76</v>
      </c>
      <c r="F61">
        <v>2</v>
      </c>
      <c r="G61">
        <v>2</v>
      </c>
      <c r="H61">
        <v>4</v>
      </c>
      <c r="I61">
        <v>0</v>
      </c>
      <c r="J61">
        <v>2</v>
      </c>
      <c r="K61" t="s">
        <v>169</v>
      </c>
      <c r="L61" t="s">
        <v>22</v>
      </c>
      <c r="M61" t="s">
        <v>241</v>
      </c>
      <c r="N61" t="s">
        <v>225</v>
      </c>
      <c r="O61" t="s">
        <v>241</v>
      </c>
      <c r="P61" t="s">
        <v>241</v>
      </c>
      <c r="Q61">
        <v>504220516</v>
      </c>
      <c r="R61" s="11">
        <v>46090.54583333333</v>
      </c>
    </row>
    <row r="62" spans="1:18" x14ac:dyDescent="0.25">
      <c r="A62">
        <v>80</v>
      </c>
      <c r="B62" s="5">
        <v>46090</v>
      </c>
      <c r="C62" t="s">
        <v>51</v>
      </c>
      <c r="D62" t="s">
        <v>82</v>
      </c>
      <c r="E62" t="s">
        <v>53</v>
      </c>
      <c r="F62">
        <v>3</v>
      </c>
      <c r="G62">
        <v>10</v>
      </c>
      <c r="H62">
        <v>0</v>
      </c>
      <c r="I62">
        <v>0</v>
      </c>
      <c r="J62">
        <v>0</v>
      </c>
      <c r="K62" t="s">
        <v>14</v>
      </c>
      <c r="L62" t="s">
        <v>241</v>
      </c>
      <c r="M62" t="s">
        <v>241</v>
      </c>
      <c r="N62" t="s">
        <v>232</v>
      </c>
      <c r="O62" t="s">
        <v>241</v>
      </c>
      <c r="P62" t="s">
        <v>241</v>
      </c>
      <c r="Q62">
        <v>565265112</v>
      </c>
      <c r="R62" s="11">
        <v>46090.670138888891</v>
      </c>
    </row>
    <row r="63" spans="1:18" x14ac:dyDescent="0.25">
      <c r="A63">
        <v>46</v>
      </c>
      <c r="B63" s="5">
        <v>46086</v>
      </c>
      <c r="C63" t="s">
        <v>75</v>
      </c>
      <c r="D63" t="s">
        <v>158</v>
      </c>
      <c r="E63" t="s">
        <v>76</v>
      </c>
      <c r="F63">
        <v>2</v>
      </c>
      <c r="G63">
        <v>10</v>
      </c>
      <c r="H63">
        <v>0</v>
      </c>
      <c r="I63">
        <v>0</v>
      </c>
      <c r="J63">
        <v>0</v>
      </c>
      <c r="K63" t="s">
        <v>22</v>
      </c>
      <c r="L63" t="s">
        <v>241</v>
      </c>
      <c r="M63" t="s">
        <v>241</v>
      </c>
      <c r="N63" t="s">
        <v>23</v>
      </c>
      <c r="O63" t="s">
        <v>241</v>
      </c>
      <c r="P63" t="s">
        <v>241</v>
      </c>
      <c r="Q63" t="s">
        <v>940</v>
      </c>
      <c r="R63" s="11">
        <v>46086.776388888888</v>
      </c>
    </row>
    <row r="64" spans="1:18" x14ac:dyDescent="0.25">
      <c r="A64">
        <v>47</v>
      </c>
      <c r="B64" s="5">
        <v>46086</v>
      </c>
      <c r="C64" t="s">
        <v>75</v>
      </c>
      <c r="D64" t="s">
        <v>158</v>
      </c>
      <c r="E64" t="s">
        <v>76</v>
      </c>
      <c r="F64">
        <v>2</v>
      </c>
      <c r="G64">
        <v>0</v>
      </c>
      <c r="H64">
        <v>0</v>
      </c>
      <c r="I64">
        <v>0</v>
      </c>
      <c r="J64">
        <v>0</v>
      </c>
      <c r="K64" t="s">
        <v>241</v>
      </c>
      <c r="L64" t="s">
        <v>241</v>
      </c>
      <c r="M64" t="s">
        <v>241</v>
      </c>
      <c r="N64" t="s">
        <v>241</v>
      </c>
      <c r="O64" t="s">
        <v>241</v>
      </c>
      <c r="P64" t="s">
        <v>241</v>
      </c>
      <c r="Q64" t="s">
        <v>940</v>
      </c>
      <c r="R64" s="11">
        <v>46086.776388888888</v>
      </c>
    </row>
    <row r="65" spans="1:18" x14ac:dyDescent="0.25">
      <c r="A65">
        <v>48</v>
      </c>
      <c r="B65" s="5">
        <v>46086</v>
      </c>
      <c r="C65" t="s">
        <v>75</v>
      </c>
      <c r="D65" t="s">
        <v>158</v>
      </c>
      <c r="E65" t="s">
        <v>76</v>
      </c>
      <c r="F65">
        <v>2</v>
      </c>
      <c r="G65">
        <v>0</v>
      </c>
      <c r="H65">
        <v>0</v>
      </c>
      <c r="I65">
        <v>0</v>
      </c>
      <c r="J65">
        <v>0</v>
      </c>
      <c r="K65" t="s">
        <v>241</v>
      </c>
      <c r="L65" t="s">
        <v>241</v>
      </c>
      <c r="M65" t="s">
        <v>241</v>
      </c>
      <c r="N65" t="s">
        <v>241</v>
      </c>
      <c r="O65" t="s">
        <v>241</v>
      </c>
      <c r="P65" t="s">
        <v>241</v>
      </c>
      <c r="Q65" t="s">
        <v>940</v>
      </c>
      <c r="R65" s="11">
        <v>46086.776388888888</v>
      </c>
    </row>
    <row r="66" spans="1:18" x14ac:dyDescent="0.25">
      <c r="A66">
        <v>49</v>
      </c>
      <c r="B66" s="5">
        <v>46086</v>
      </c>
      <c r="C66" t="s">
        <v>75</v>
      </c>
      <c r="D66" t="s">
        <v>158</v>
      </c>
      <c r="E66" t="s">
        <v>76</v>
      </c>
      <c r="F66">
        <v>2</v>
      </c>
      <c r="G66">
        <v>0</v>
      </c>
      <c r="H66">
        <v>0</v>
      </c>
      <c r="I66">
        <v>0</v>
      </c>
      <c r="J66">
        <v>0</v>
      </c>
      <c r="K66" t="s">
        <v>241</v>
      </c>
      <c r="L66" t="s">
        <v>241</v>
      </c>
      <c r="M66" t="s">
        <v>241</v>
      </c>
      <c r="N66" t="s">
        <v>241</v>
      </c>
      <c r="O66" t="s">
        <v>241</v>
      </c>
      <c r="P66" t="s">
        <v>241</v>
      </c>
      <c r="Q66" t="s">
        <v>940</v>
      </c>
      <c r="R66" s="11">
        <v>46086.777083333334</v>
      </c>
    </row>
    <row r="67" spans="1:18" x14ac:dyDescent="0.25">
      <c r="A67">
        <v>50</v>
      </c>
      <c r="B67" s="5">
        <v>46087</v>
      </c>
      <c r="C67" t="s">
        <v>51</v>
      </c>
      <c r="D67" t="s">
        <v>82</v>
      </c>
      <c r="E67" t="s">
        <v>53</v>
      </c>
      <c r="F67">
        <v>3</v>
      </c>
      <c r="G67">
        <v>0</v>
      </c>
      <c r="H67">
        <v>22</v>
      </c>
      <c r="I67">
        <v>0</v>
      </c>
      <c r="J67">
        <v>0</v>
      </c>
      <c r="K67" t="s">
        <v>178</v>
      </c>
      <c r="L67" t="s">
        <v>241</v>
      </c>
      <c r="M67" t="s">
        <v>241</v>
      </c>
      <c r="N67" t="s">
        <v>217</v>
      </c>
      <c r="O67" t="s">
        <v>241</v>
      </c>
      <c r="P67" t="s">
        <v>241</v>
      </c>
      <c r="Q67">
        <v>569007478</v>
      </c>
      <c r="R67" s="11">
        <v>46086.988888888889</v>
      </c>
    </row>
    <row r="68" spans="1:18" x14ac:dyDescent="0.25">
      <c r="A68">
        <v>51</v>
      </c>
      <c r="B68" s="5">
        <v>46086</v>
      </c>
      <c r="C68" t="s">
        <v>75</v>
      </c>
      <c r="D68" t="s">
        <v>102</v>
      </c>
      <c r="E68" t="s">
        <v>76</v>
      </c>
      <c r="F68">
        <v>2</v>
      </c>
      <c r="G68">
        <v>20</v>
      </c>
      <c r="H68">
        <v>0</v>
      </c>
      <c r="I68">
        <v>0</v>
      </c>
      <c r="J68">
        <v>0</v>
      </c>
      <c r="K68" t="s">
        <v>180</v>
      </c>
      <c r="L68" t="s">
        <v>182</v>
      </c>
      <c r="M68" t="s">
        <v>241</v>
      </c>
      <c r="N68" t="s">
        <v>233</v>
      </c>
      <c r="O68" t="s">
        <v>20</v>
      </c>
      <c r="P68" t="s">
        <v>241</v>
      </c>
      <c r="Q68">
        <v>54227695</v>
      </c>
      <c r="R68" s="11">
        <v>46087.022916666669</v>
      </c>
    </row>
    <row r="69" spans="1:18" x14ac:dyDescent="0.25">
      <c r="A69">
        <v>52</v>
      </c>
      <c r="B69" s="5">
        <v>46087</v>
      </c>
      <c r="C69" t="s">
        <v>51</v>
      </c>
      <c r="D69" t="s">
        <v>156</v>
      </c>
      <c r="E69" t="s">
        <v>53</v>
      </c>
      <c r="F69">
        <v>2</v>
      </c>
      <c r="G69">
        <v>6</v>
      </c>
      <c r="H69">
        <v>0</v>
      </c>
      <c r="I69">
        <v>0</v>
      </c>
      <c r="J69">
        <v>0</v>
      </c>
      <c r="K69" t="s">
        <v>215</v>
      </c>
      <c r="L69" t="s">
        <v>241</v>
      </c>
      <c r="M69" t="s">
        <v>241</v>
      </c>
      <c r="N69" t="s">
        <v>216</v>
      </c>
      <c r="O69" t="s">
        <v>241</v>
      </c>
      <c r="P69" t="s">
        <v>241</v>
      </c>
      <c r="Q69">
        <v>553285621</v>
      </c>
      <c r="R69" s="11">
        <v>46087.683333333334</v>
      </c>
    </row>
    <row r="70" spans="1:18" x14ac:dyDescent="0.25">
      <c r="A70">
        <v>53</v>
      </c>
      <c r="B70" s="5">
        <v>46087</v>
      </c>
      <c r="C70" t="s">
        <v>51</v>
      </c>
      <c r="D70" t="s">
        <v>82</v>
      </c>
      <c r="E70" t="s">
        <v>53</v>
      </c>
      <c r="F70">
        <v>3</v>
      </c>
      <c r="G70">
        <v>0</v>
      </c>
      <c r="H70">
        <v>0</v>
      </c>
      <c r="I70">
        <v>0</v>
      </c>
      <c r="J70">
        <v>1</v>
      </c>
      <c r="K70" t="s">
        <v>14</v>
      </c>
      <c r="L70" t="s">
        <v>241</v>
      </c>
      <c r="M70" t="s">
        <v>241</v>
      </c>
      <c r="N70" t="s">
        <v>232</v>
      </c>
      <c r="O70" t="s">
        <v>241</v>
      </c>
      <c r="P70" t="s">
        <v>241</v>
      </c>
      <c r="Q70">
        <v>565265112</v>
      </c>
      <c r="R70" s="11">
        <v>46087.694444444445</v>
      </c>
    </row>
    <row r="71" spans="1:18" x14ac:dyDescent="0.25">
      <c r="A71">
        <v>54</v>
      </c>
      <c r="B71" s="5">
        <v>46087</v>
      </c>
      <c r="C71" t="s">
        <v>75</v>
      </c>
      <c r="D71" t="s">
        <v>158</v>
      </c>
      <c r="E71" t="s">
        <v>76</v>
      </c>
      <c r="F71">
        <v>2</v>
      </c>
      <c r="G71">
        <v>9</v>
      </c>
      <c r="H71">
        <v>0</v>
      </c>
      <c r="I71">
        <v>0</v>
      </c>
      <c r="J71">
        <v>0</v>
      </c>
      <c r="K71" t="s">
        <v>22</v>
      </c>
      <c r="L71" t="s">
        <v>241</v>
      </c>
      <c r="M71" t="s">
        <v>241</v>
      </c>
      <c r="N71" t="s">
        <v>23</v>
      </c>
      <c r="O71" t="s">
        <v>241</v>
      </c>
      <c r="P71" t="s">
        <v>241</v>
      </c>
      <c r="Q71" t="s">
        <v>940</v>
      </c>
      <c r="R71" s="11">
        <v>46087.731249999997</v>
      </c>
    </row>
    <row r="72" spans="1:18" x14ac:dyDescent="0.25">
      <c r="A72">
        <v>55</v>
      </c>
      <c r="B72" s="5">
        <v>46087</v>
      </c>
      <c r="C72" t="s">
        <v>75</v>
      </c>
      <c r="D72" t="s">
        <v>158</v>
      </c>
      <c r="E72" t="s">
        <v>76</v>
      </c>
      <c r="F72">
        <v>2</v>
      </c>
      <c r="G72">
        <v>0</v>
      </c>
      <c r="H72">
        <v>0</v>
      </c>
      <c r="I72">
        <v>0</v>
      </c>
      <c r="J72">
        <v>0</v>
      </c>
      <c r="K72" t="s">
        <v>241</v>
      </c>
      <c r="L72" t="s">
        <v>241</v>
      </c>
      <c r="M72" t="s">
        <v>241</v>
      </c>
      <c r="N72" t="s">
        <v>241</v>
      </c>
      <c r="O72" t="s">
        <v>241</v>
      </c>
      <c r="P72" t="s">
        <v>241</v>
      </c>
      <c r="Q72" t="s">
        <v>940</v>
      </c>
      <c r="R72" s="11">
        <v>46087.731249999997</v>
      </c>
    </row>
    <row r="73" spans="1:18" x14ac:dyDescent="0.25">
      <c r="A73">
        <v>56</v>
      </c>
      <c r="B73" s="5">
        <v>46087</v>
      </c>
      <c r="C73" t="s">
        <v>75</v>
      </c>
      <c r="D73" t="s">
        <v>158</v>
      </c>
      <c r="E73" t="s">
        <v>76</v>
      </c>
      <c r="F73">
        <v>2</v>
      </c>
      <c r="G73">
        <v>0</v>
      </c>
      <c r="H73">
        <v>0</v>
      </c>
      <c r="I73">
        <v>0</v>
      </c>
      <c r="J73">
        <v>0</v>
      </c>
      <c r="K73" t="s">
        <v>241</v>
      </c>
      <c r="L73" t="s">
        <v>241</v>
      </c>
      <c r="M73" t="s">
        <v>241</v>
      </c>
      <c r="N73" t="s">
        <v>241</v>
      </c>
      <c r="O73" t="s">
        <v>241</v>
      </c>
      <c r="P73" t="s">
        <v>241</v>
      </c>
      <c r="Q73" t="s">
        <v>940</v>
      </c>
      <c r="R73" s="11">
        <v>46087.731249999997</v>
      </c>
    </row>
    <row r="74" spans="1:18" x14ac:dyDescent="0.25">
      <c r="A74">
        <v>57</v>
      </c>
      <c r="B74" s="5">
        <v>46087</v>
      </c>
      <c r="C74" t="s">
        <v>75</v>
      </c>
      <c r="D74" t="s">
        <v>158</v>
      </c>
      <c r="E74" t="s">
        <v>76</v>
      </c>
      <c r="F74">
        <v>2</v>
      </c>
      <c r="G74">
        <v>0</v>
      </c>
      <c r="H74">
        <v>0</v>
      </c>
      <c r="I74">
        <v>0</v>
      </c>
      <c r="J74">
        <v>0</v>
      </c>
      <c r="K74" t="s">
        <v>241</v>
      </c>
      <c r="L74" t="s">
        <v>241</v>
      </c>
      <c r="M74" t="s">
        <v>241</v>
      </c>
      <c r="N74" t="s">
        <v>241</v>
      </c>
      <c r="O74" t="s">
        <v>241</v>
      </c>
      <c r="P74" t="s">
        <v>241</v>
      </c>
      <c r="Q74" t="s">
        <v>940</v>
      </c>
      <c r="R74" s="11">
        <v>46087.731249999997</v>
      </c>
    </row>
    <row r="75" spans="1:18" x14ac:dyDescent="0.25">
      <c r="A75">
        <v>58</v>
      </c>
      <c r="B75" s="5">
        <v>46087</v>
      </c>
      <c r="C75" t="s">
        <v>75</v>
      </c>
      <c r="D75" t="s">
        <v>158</v>
      </c>
      <c r="E75" t="s">
        <v>76</v>
      </c>
      <c r="F75">
        <v>2</v>
      </c>
      <c r="G75">
        <v>0</v>
      </c>
      <c r="H75">
        <v>0</v>
      </c>
      <c r="I75">
        <v>0</v>
      </c>
      <c r="J75">
        <v>0</v>
      </c>
      <c r="K75" t="s">
        <v>241</v>
      </c>
      <c r="L75" t="s">
        <v>241</v>
      </c>
      <c r="M75" t="s">
        <v>241</v>
      </c>
      <c r="N75" t="s">
        <v>241</v>
      </c>
      <c r="O75" t="s">
        <v>241</v>
      </c>
      <c r="P75" t="s">
        <v>241</v>
      </c>
      <c r="Q75" t="s">
        <v>940</v>
      </c>
      <c r="R75" s="11">
        <v>46087.731944444444</v>
      </c>
    </row>
    <row r="76" spans="1:18" x14ac:dyDescent="0.25">
      <c r="A76">
        <v>59</v>
      </c>
      <c r="B76" s="5">
        <v>46087</v>
      </c>
      <c r="C76" t="s">
        <v>75</v>
      </c>
      <c r="D76" t="s">
        <v>158</v>
      </c>
      <c r="E76" t="s">
        <v>76</v>
      </c>
      <c r="F76">
        <v>2</v>
      </c>
      <c r="G76">
        <v>0</v>
      </c>
      <c r="H76">
        <v>0</v>
      </c>
      <c r="I76">
        <v>0</v>
      </c>
      <c r="J76">
        <v>0</v>
      </c>
      <c r="K76" t="s">
        <v>241</v>
      </c>
      <c r="L76" t="s">
        <v>241</v>
      </c>
      <c r="M76" t="s">
        <v>241</v>
      </c>
      <c r="N76" t="s">
        <v>241</v>
      </c>
      <c r="O76" t="s">
        <v>241</v>
      </c>
      <c r="P76" t="s">
        <v>241</v>
      </c>
      <c r="Q76" t="s">
        <v>940</v>
      </c>
      <c r="R76" s="11">
        <v>46087.731944444444</v>
      </c>
    </row>
    <row r="77" spans="1:18" x14ac:dyDescent="0.25">
      <c r="A77">
        <v>60</v>
      </c>
      <c r="B77" s="5">
        <v>46087</v>
      </c>
      <c r="C77" t="s">
        <v>51</v>
      </c>
      <c r="D77" t="s">
        <v>82</v>
      </c>
      <c r="E77" t="s">
        <v>53</v>
      </c>
      <c r="F77">
        <v>3</v>
      </c>
      <c r="G77">
        <v>15</v>
      </c>
      <c r="H77">
        <v>0</v>
      </c>
      <c r="I77">
        <v>0</v>
      </c>
      <c r="J77">
        <v>0</v>
      </c>
      <c r="K77" t="s">
        <v>245</v>
      </c>
      <c r="L77" t="s">
        <v>241</v>
      </c>
      <c r="M77" t="s">
        <v>241</v>
      </c>
      <c r="N77" t="s">
        <v>213</v>
      </c>
      <c r="O77" t="s">
        <v>241</v>
      </c>
      <c r="P77" t="s">
        <v>241</v>
      </c>
      <c r="Q77">
        <v>509288074</v>
      </c>
      <c r="R77" s="11">
        <v>46087.878472222219</v>
      </c>
    </row>
    <row r="78" spans="1:18" x14ac:dyDescent="0.25">
      <c r="A78">
        <v>61</v>
      </c>
      <c r="B78" s="5">
        <v>46087</v>
      </c>
      <c r="C78" t="s">
        <v>51</v>
      </c>
      <c r="D78" t="s">
        <v>82</v>
      </c>
      <c r="E78" t="s">
        <v>53</v>
      </c>
      <c r="F78">
        <v>3</v>
      </c>
      <c r="G78">
        <v>0</v>
      </c>
      <c r="H78">
        <v>0</v>
      </c>
      <c r="I78">
        <v>0</v>
      </c>
      <c r="J78">
        <v>0</v>
      </c>
      <c r="K78" t="s">
        <v>241</v>
      </c>
      <c r="L78" t="s">
        <v>241</v>
      </c>
      <c r="M78" t="s">
        <v>241</v>
      </c>
      <c r="N78" t="s">
        <v>241</v>
      </c>
      <c r="O78" t="s">
        <v>241</v>
      </c>
      <c r="P78" t="s">
        <v>241</v>
      </c>
      <c r="Q78">
        <v>509288074</v>
      </c>
      <c r="R78" s="11">
        <v>46087.878472222219</v>
      </c>
    </row>
    <row r="79" spans="1:18" x14ac:dyDescent="0.25">
      <c r="A79">
        <v>62</v>
      </c>
      <c r="B79" s="5">
        <v>46087</v>
      </c>
      <c r="C79" t="s">
        <v>51</v>
      </c>
      <c r="D79" t="s">
        <v>157</v>
      </c>
      <c r="E79" t="s">
        <v>53</v>
      </c>
      <c r="F79">
        <v>2</v>
      </c>
      <c r="G79">
        <v>3</v>
      </c>
      <c r="H79">
        <v>0</v>
      </c>
      <c r="I79">
        <v>0</v>
      </c>
      <c r="J79">
        <v>2</v>
      </c>
      <c r="K79" t="s">
        <v>11</v>
      </c>
      <c r="L79" t="s">
        <v>241</v>
      </c>
      <c r="M79" t="s">
        <v>241</v>
      </c>
      <c r="N79" t="s">
        <v>220</v>
      </c>
      <c r="O79" t="s">
        <v>241</v>
      </c>
      <c r="P79" t="s">
        <v>241</v>
      </c>
      <c r="Q79">
        <v>504227514</v>
      </c>
      <c r="R79" s="11">
        <v>46087.929166666669</v>
      </c>
    </row>
    <row r="80" spans="1:18" x14ac:dyDescent="0.25">
      <c r="A80">
        <v>63</v>
      </c>
      <c r="B80" s="5">
        <v>46087</v>
      </c>
      <c r="C80" t="s">
        <v>75</v>
      </c>
      <c r="D80" t="s">
        <v>102</v>
      </c>
      <c r="E80" t="s">
        <v>76</v>
      </c>
      <c r="F80">
        <v>2</v>
      </c>
      <c r="G80">
        <v>0</v>
      </c>
      <c r="H80">
        <v>14</v>
      </c>
      <c r="I80">
        <v>0</v>
      </c>
      <c r="J80">
        <v>2</v>
      </c>
      <c r="K80" t="s">
        <v>180</v>
      </c>
      <c r="L80" t="s">
        <v>182</v>
      </c>
      <c r="M80" t="s">
        <v>241</v>
      </c>
      <c r="N80" t="s">
        <v>233</v>
      </c>
      <c r="O80" t="s">
        <v>20</v>
      </c>
      <c r="P80" t="s">
        <v>241</v>
      </c>
      <c r="Q80">
        <v>54227695</v>
      </c>
      <c r="R80" s="11">
        <v>46088.008333333331</v>
      </c>
    </row>
    <row r="81" spans="1:18" x14ac:dyDescent="0.25">
      <c r="A81">
        <v>64</v>
      </c>
      <c r="B81" s="5">
        <v>46088</v>
      </c>
      <c r="C81" t="s">
        <v>51</v>
      </c>
      <c r="D81" t="s">
        <v>82</v>
      </c>
      <c r="E81" t="s">
        <v>53</v>
      </c>
      <c r="F81">
        <v>3</v>
      </c>
      <c r="G81">
        <v>0</v>
      </c>
      <c r="H81">
        <v>8</v>
      </c>
      <c r="I81">
        <v>0</v>
      </c>
      <c r="J81">
        <v>1</v>
      </c>
      <c r="K81" t="s">
        <v>178</v>
      </c>
      <c r="L81" t="s">
        <v>241</v>
      </c>
      <c r="M81" t="s">
        <v>241</v>
      </c>
      <c r="N81" t="s">
        <v>217</v>
      </c>
      <c r="O81" t="s">
        <v>241</v>
      </c>
      <c r="P81" t="s">
        <v>241</v>
      </c>
      <c r="Q81">
        <v>569007478</v>
      </c>
      <c r="R81" s="11">
        <v>46088.022222222222</v>
      </c>
    </row>
    <row r="82" spans="1:18" x14ac:dyDescent="0.25">
      <c r="A82">
        <v>65</v>
      </c>
      <c r="B82" s="5">
        <v>46087</v>
      </c>
      <c r="C82" t="s">
        <v>75</v>
      </c>
      <c r="D82" t="s">
        <v>158</v>
      </c>
      <c r="E82" t="s">
        <v>76</v>
      </c>
      <c r="F82">
        <v>2</v>
      </c>
      <c r="G82">
        <v>9</v>
      </c>
      <c r="H82">
        <v>0</v>
      </c>
      <c r="I82">
        <v>0</v>
      </c>
      <c r="J82">
        <v>0</v>
      </c>
      <c r="K82" t="s">
        <v>169</v>
      </c>
      <c r="L82" t="s">
        <v>241</v>
      </c>
      <c r="M82" t="s">
        <v>241</v>
      </c>
      <c r="N82" t="s">
        <v>225</v>
      </c>
      <c r="O82" t="s">
        <v>241</v>
      </c>
      <c r="P82" t="s">
        <v>241</v>
      </c>
      <c r="Q82" s="13" t="s">
        <v>941</v>
      </c>
      <c r="R82" s="11">
        <v>46088.140277777777</v>
      </c>
    </row>
    <row r="83" spans="1:18" x14ac:dyDescent="0.25">
      <c r="A83">
        <v>34</v>
      </c>
      <c r="B83" s="5">
        <v>46083</v>
      </c>
      <c r="C83" t="s">
        <v>51</v>
      </c>
      <c r="D83" t="s">
        <v>240</v>
      </c>
      <c r="E83" t="s">
        <v>53</v>
      </c>
      <c r="F83">
        <v>1</v>
      </c>
      <c r="G83">
        <v>0</v>
      </c>
      <c r="H83">
        <v>17</v>
      </c>
      <c r="I83">
        <v>0</v>
      </c>
      <c r="J83">
        <v>0</v>
      </c>
      <c r="K83" t="s">
        <v>14</v>
      </c>
      <c r="L83" t="s">
        <v>241</v>
      </c>
      <c r="M83" t="s">
        <v>241</v>
      </c>
      <c r="N83" t="s">
        <v>176</v>
      </c>
      <c r="O83" t="s">
        <v>241</v>
      </c>
      <c r="P83" t="s">
        <v>241</v>
      </c>
      <c r="Q83">
        <v>565265112</v>
      </c>
      <c r="R83" s="11">
        <v>46083.491666666669</v>
      </c>
    </row>
    <row r="84" spans="1:18" x14ac:dyDescent="0.25">
      <c r="A84">
        <v>35</v>
      </c>
      <c r="B84" s="5">
        <v>46083</v>
      </c>
      <c r="C84" t="s">
        <v>51</v>
      </c>
      <c r="D84" t="s">
        <v>237</v>
      </c>
      <c r="E84" t="s">
        <v>100</v>
      </c>
      <c r="F84">
        <v>2</v>
      </c>
      <c r="G84">
        <v>24</v>
      </c>
      <c r="H84">
        <v>0</v>
      </c>
      <c r="I84">
        <v>0</v>
      </c>
      <c r="J84">
        <v>0</v>
      </c>
      <c r="K84" t="s">
        <v>184</v>
      </c>
      <c r="L84" t="s">
        <v>241</v>
      </c>
      <c r="M84" t="s">
        <v>241</v>
      </c>
      <c r="N84" t="s">
        <v>176</v>
      </c>
      <c r="O84" t="s">
        <v>241</v>
      </c>
      <c r="P84" t="s">
        <v>241</v>
      </c>
      <c r="Q84">
        <v>568325418</v>
      </c>
      <c r="R84" s="11">
        <v>46083.744444444441</v>
      </c>
    </row>
    <row r="85" spans="1:18" x14ac:dyDescent="0.25">
      <c r="A85">
        <v>36</v>
      </c>
      <c r="B85" s="5">
        <v>46083</v>
      </c>
      <c r="C85" t="s">
        <v>51</v>
      </c>
      <c r="D85" t="s">
        <v>156</v>
      </c>
      <c r="E85" t="s">
        <v>53</v>
      </c>
      <c r="F85">
        <v>2</v>
      </c>
      <c r="G85">
        <v>6</v>
      </c>
      <c r="H85">
        <v>0</v>
      </c>
      <c r="I85">
        <v>0</v>
      </c>
      <c r="J85">
        <v>0</v>
      </c>
      <c r="K85" t="s">
        <v>177</v>
      </c>
      <c r="L85" t="s">
        <v>241</v>
      </c>
      <c r="M85" t="s">
        <v>241</v>
      </c>
      <c r="N85" t="s">
        <v>185</v>
      </c>
      <c r="O85" t="s">
        <v>241</v>
      </c>
      <c r="P85" t="s">
        <v>241</v>
      </c>
      <c r="Q85">
        <v>508656641</v>
      </c>
      <c r="R85" s="11">
        <v>46083.818749999999</v>
      </c>
    </row>
    <row r="86" spans="1:18" x14ac:dyDescent="0.25">
      <c r="A86">
        <v>37</v>
      </c>
      <c r="B86" s="5">
        <v>46083</v>
      </c>
      <c r="C86" t="s">
        <v>51</v>
      </c>
      <c r="D86" t="s">
        <v>156</v>
      </c>
      <c r="E86" t="s">
        <v>53</v>
      </c>
      <c r="F86">
        <v>2</v>
      </c>
      <c r="G86">
        <v>0</v>
      </c>
      <c r="H86">
        <v>0</v>
      </c>
      <c r="I86">
        <v>0</v>
      </c>
      <c r="J86">
        <v>0</v>
      </c>
      <c r="K86" t="s">
        <v>241</v>
      </c>
      <c r="L86" t="s">
        <v>241</v>
      </c>
      <c r="M86" t="s">
        <v>241</v>
      </c>
      <c r="N86" t="s">
        <v>241</v>
      </c>
      <c r="O86" t="s">
        <v>241</v>
      </c>
      <c r="P86" t="s">
        <v>241</v>
      </c>
      <c r="Q86">
        <v>508656641</v>
      </c>
      <c r="R86" s="11">
        <v>46083.818749999999</v>
      </c>
    </row>
    <row r="87" spans="1:18" x14ac:dyDescent="0.25">
      <c r="A87">
        <v>38</v>
      </c>
      <c r="B87" s="5">
        <v>46084</v>
      </c>
      <c r="C87" t="s">
        <v>51</v>
      </c>
      <c r="D87" t="s">
        <v>160</v>
      </c>
      <c r="E87" t="s">
        <v>53</v>
      </c>
      <c r="F87">
        <v>1</v>
      </c>
      <c r="G87">
        <v>0</v>
      </c>
      <c r="H87">
        <v>22</v>
      </c>
      <c r="I87">
        <v>0</v>
      </c>
      <c r="J87">
        <v>0</v>
      </c>
      <c r="K87" t="s">
        <v>178</v>
      </c>
      <c r="L87" t="s">
        <v>241</v>
      </c>
      <c r="M87" t="s">
        <v>241</v>
      </c>
      <c r="N87" t="s">
        <v>22</v>
      </c>
      <c r="O87" t="s">
        <v>241</v>
      </c>
      <c r="P87" t="s">
        <v>241</v>
      </c>
      <c r="Q87">
        <v>569007478</v>
      </c>
      <c r="R87" s="11">
        <v>46084.039583333331</v>
      </c>
    </row>
    <row r="88" spans="1:18" x14ac:dyDescent="0.25">
      <c r="A88">
        <v>39</v>
      </c>
      <c r="B88" s="5">
        <v>46083</v>
      </c>
      <c r="C88" t="s">
        <v>51</v>
      </c>
      <c r="D88" t="s">
        <v>154</v>
      </c>
      <c r="E88" t="s">
        <v>53</v>
      </c>
      <c r="F88">
        <v>2</v>
      </c>
      <c r="G88">
        <v>15</v>
      </c>
      <c r="H88">
        <v>0</v>
      </c>
      <c r="I88">
        <v>0</v>
      </c>
      <c r="J88">
        <v>0</v>
      </c>
      <c r="K88" t="s">
        <v>241</v>
      </c>
      <c r="L88" t="s">
        <v>241</v>
      </c>
      <c r="M88" t="s">
        <v>241</v>
      </c>
      <c r="N88" t="s">
        <v>189</v>
      </c>
      <c r="O88" t="s">
        <v>241</v>
      </c>
      <c r="P88" t="s">
        <v>241</v>
      </c>
      <c r="Q88">
        <v>509288074</v>
      </c>
      <c r="R88" s="11">
        <v>46084.125</v>
      </c>
    </row>
    <row r="89" spans="1:18" x14ac:dyDescent="0.25">
      <c r="A89">
        <v>40</v>
      </c>
      <c r="B89" s="5">
        <v>46084</v>
      </c>
      <c r="C89" t="s">
        <v>51</v>
      </c>
      <c r="D89" t="s">
        <v>154</v>
      </c>
      <c r="E89" t="s">
        <v>53</v>
      </c>
      <c r="F89">
        <v>2</v>
      </c>
      <c r="G89">
        <v>0</v>
      </c>
      <c r="H89">
        <v>0</v>
      </c>
      <c r="I89">
        <v>0</v>
      </c>
      <c r="J89">
        <v>0</v>
      </c>
      <c r="K89" t="s">
        <v>241</v>
      </c>
      <c r="L89" t="s">
        <v>241</v>
      </c>
      <c r="M89" t="s">
        <v>241</v>
      </c>
      <c r="N89" t="s">
        <v>189</v>
      </c>
      <c r="O89" t="s">
        <v>241</v>
      </c>
      <c r="P89" t="s">
        <v>241</v>
      </c>
      <c r="Q89">
        <v>509288074</v>
      </c>
      <c r="R89" s="11">
        <v>46084.125694444447</v>
      </c>
    </row>
    <row r="90" spans="1:18" x14ac:dyDescent="0.25">
      <c r="A90">
        <v>41</v>
      </c>
      <c r="B90" s="5">
        <v>46084</v>
      </c>
      <c r="C90" t="s">
        <v>51</v>
      </c>
      <c r="D90" t="s">
        <v>154</v>
      </c>
      <c r="E90" t="s">
        <v>53</v>
      </c>
      <c r="F90">
        <v>2</v>
      </c>
      <c r="G90">
        <v>0</v>
      </c>
      <c r="H90">
        <v>0</v>
      </c>
      <c r="I90">
        <v>0</v>
      </c>
      <c r="J90">
        <v>0</v>
      </c>
      <c r="K90" t="s">
        <v>189</v>
      </c>
      <c r="L90" t="s">
        <v>241</v>
      </c>
      <c r="M90" t="s">
        <v>241</v>
      </c>
      <c r="N90" t="s">
        <v>241</v>
      </c>
      <c r="O90" t="s">
        <v>241</v>
      </c>
      <c r="P90" t="s">
        <v>241</v>
      </c>
      <c r="Q90">
        <v>509288074</v>
      </c>
      <c r="R90" s="11">
        <v>46084.125694444447</v>
      </c>
    </row>
    <row r="91" spans="1:18" x14ac:dyDescent="0.25">
      <c r="A91">
        <v>42</v>
      </c>
      <c r="B91" s="5">
        <v>46085</v>
      </c>
      <c r="C91" t="s">
        <v>75</v>
      </c>
      <c r="D91" t="s">
        <v>158</v>
      </c>
      <c r="E91" t="s">
        <v>76</v>
      </c>
      <c r="F91">
        <v>2</v>
      </c>
      <c r="G91">
        <v>0</v>
      </c>
      <c r="H91">
        <v>4</v>
      </c>
      <c r="I91">
        <v>0</v>
      </c>
      <c r="J91">
        <v>0</v>
      </c>
      <c r="K91" t="s">
        <v>22</v>
      </c>
      <c r="L91" t="s">
        <v>241</v>
      </c>
      <c r="M91" t="s">
        <v>241</v>
      </c>
      <c r="N91" t="s">
        <v>23</v>
      </c>
      <c r="O91" t="s">
        <v>241</v>
      </c>
      <c r="P91" t="s">
        <v>241</v>
      </c>
      <c r="Q91" t="s">
        <v>244</v>
      </c>
      <c r="R91" s="11">
        <v>46085.472222222219</v>
      </c>
    </row>
    <row r="92" spans="1:18" x14ac:dyDescent="0.25">
      <c r="A92">
        <v>43</v>
      </c>
      <c r="B92" s="5">
        <v>46084</v>
      </c>
      <c r="C92" t="s">
        <v>51</v>
      </c>
      <c r="D92" t="s">
        <v>157</v>
      </c>
      <c r="E92" t="s">
        <v>53</v>
      </c>
      <c r="F92">
        <v>2</v>
      </c>
      <c r="G92">
        <v>0</v>
      </c>
      <c r="H92">
        <v>13</v>
      </c>
      <c r="I92">
        <v>0</v>
      </c>
      <c r="J92">
        <v>0</v>
      </c>
      <c r="K92" t="s">
        <v>11</v>
      </c>
      <c r="L92" t="s">
        <v>241</v>
      </c>
      <c r="M92" t="s">
        <v>241</v>
      </c>
      <c r="N92" t="s">
        <v>241</v>
      </c>
      <c r="O92" t="s">
        <v>241</v>
      </c>
      <c r="P92" t="s">
        <v>241</v>
      </c>
      <c r="Q92">
        <v>504227514</v>
      </c>
      <c r="R92" s="11">
        <v>46085.475694444445</v>
      </c>
    </row>
    <row r="93" spans="1:18" x14ac:dyDescent="0.25">
      <c r="A93">
        <v>44</v>
      </c>
      <c r="B93" s="5">
        <v>46085</v>
      </c>
      <c r="C93" t="s">
        <v>51</v>
      </c>
      <c r="D93" t="s">
        <v>154</v>
      </c>
      <c r="E93" t="s">
        <v>53</v>
      </c>
      <c r="F93">
        <v>3</v>
      </c>
      <c r="G93">
        <v>11</v>
      </c>
      <c r="H93">
        <v>0</v>
      </c>
      <c r="I93">
        <v>0</v>
      </c>
      <c r="J93">
        <v>0</v>
      </c>
      <c r="K93" t="s">
        <v>245</v>
      </c>
      <c r="L93" t="s">
        <v>241</v>
      </c>
      <c r="M93" t="s">
        <v>241</v>
      </c>
      <c r="N93" t="s">
        <v>213</v>
      </c>
      <c r="O93" t="s">
        <v>241</v>
      </c>
      <c r="P93" t="s">
        <v>241</v>
      </c>
      <c r="Q93">
        <v>509288074</v>
      </c>
      <c r="R93" s="11">
        <v>46085.510416666664</v>
      </c>
    </row>
    <row r="94" spans="1:18" x14ac:dyDescent="0.25">
      <c r="A94">
        <v>45</v>
      </c>
      <c r="B94" s="5">
        <v>46085</v>
      </c>
      <c r="C94" t="s">
        <v>51</v>
      </c>
      <c r="D94" t="s">
        <v>154</v>
      </c>
      <c r="E94" t="s">
        <v>53</v>
      </c>
      <c r="F94">
        <v>3</v>
      </c>
      <c r="G94">
        <v>0</v>
      </c>
      <c r="H94">
        <v>0</v>
      </c>
      <c r="I94">
        <v>0</v>
      </c>
      <c r="J94">
        <v>0</v>
      </c>
      <c r="K94" t="s">
        <v>241</v>
      </c>
      <c r="L94" t="s">
        <v>241</v>
      </c>
      <c r="M94" t="s">
        <v>241</v>
      </c>
      <c r="N94" t="s">
        <v>241</v>
      </c>
      <c r="O94" t="s">
        <v>241</v>
      </c>
      <c r="P94" t="s">
        <v>241</v>
      </c>
      <c r="Q94">
        <v>509288074</v>
      </c>
      <c r="R94" s="11">
        <v>46085.510416666664</v>
      </c>
    </row>
    <row r="95" spans="1:18" x14ac:dyDescent="0.25">
      <c r="A95">
        <v>66</v>
      </c>
      <c r="B95" s="5">
        <v>46088</v>
      </c>
      <c r="C95" t="s">
        <v>51</v>
      </c>
      <c r="D95" t="s">
        <v>82</v>
      </c>
      <c r="E95" t="s">
        <v>53</v>
      </c>
      <c r="F95">
        <v>3</v>
      </c>
      <c r="G95">
        <v>15</v>
      </c>
      <c r="H95">
        <v>0</v>
      </c>
      <c r="I95">
        <v>0</v>
      </c>
      <c r="J95">
        <v>0</v>
      </c>
      <c r="K95" t="s">
        <v>14</v>
      </c>
      <c r="L95" t="s">
        <v>241</v>
      </c>
      <c r="M95" t="s">
        <v>241</v>
      </c>
      <c r="N95" t="s">
        <v>232</v>
      </c>
      <c r="O95" t="s">
        <v>241</v>
      </c>
      <c r="P95" t="s">
        <v>241</v>
      </c>
      <c r="Q95">
        <v>565265112</v>
      </c>
      <c r="R95" s="11">
        <v>46088.623611111114</v>
      </c>
    </row>
    <row r="96" spans="1:18" x14ac:dyDescent="0.25">
      <c r="A96">
        <v>67</v>
      </c>
      <c r="B96" s="5">
        <v>46088</v>
      </c>
      <c r="C96" t="s">
        <v>51</v>
      </c>
      <c r="D96" t="s">
        <v>156</v>
      </c>
      <c r="E96" t="s">
        <v>53</v>
      </c>
      <c r="F96">
        <v>2</v>
      </c>
      <c r="G96">
        <v>7</v>
      </c>
      <c r="H96">
        <v>0</v>
      </c>
      <c r="I96">
        <v>0</v>
      </c>
      <c r="J96">
        <v>0</v>
      </c>
      <c r="K96" t="s">
        <v>177</v>
      </c>
      <c r="L96" t="s">
        <v>241</v>
      </c>
      <c r="M96" t="s">
        <v>241</v>
      </c>
      <c r="N96" t="s">
        <v>185</v>
      </c>
      <c r="O96" t="s">
        <v>241</v>
      </c>
      <c r="P96" t="s">
        <v>241</v>
      </c>
      <c r="Q96">
        <v>508656641</v>
      </c>
      <c r="R96" s="11">
        <v>46088.62777777778</v>
      </c>
    </row>
    <row r="97" spans="1:18" x14ac:dyDescent="0.25">
      <c r="A97">
        <v>68</v>
      </c>
      <c r="B97" s="5">
        <v>46087</v>
      </c>
      <c r="C97" t="s">
        <v>51</v>
      </c>
      <c r="D97" t="s">
        <v>156</v>
      </c>
      <c r="E97" t="s">
        <v>53</v>
      </c>
      <c r="F97">
        <v>2</v>
      </c>
      <c r="G97">
        <v>7</v>
      </c>
      <c r="H97">
        <v>0</v>
      </c>
      <c r="I97">
        <v>0</v>
      </c>
      <c r="J97">
        <v>0</v>
      </c>
      <c r="K97" t="s">
        <v>215</v>
      </c>
      <c r="L97" t="s">
        <v>241</v>
      </c>
      <c r="M97" t="s">
        <v>241</v>
      </c>
      <c r="N97" t="s">
        <v>216</v>
      </c>
      <c r="O97" t="s">
        <v>241</v>
      </c>
      <c r="P97" t="s">
        <v>241</v>
      </c>
      <c r="Q97">
        <v>553285621</v>
      </c>
      <c r="R97" s="11">
        <v>46088.944444444445</v>
      </c>
    </row>
    <row r="98" spans="1:18" x14ac:dyDescent="0.25">
      <c r="A98">
        <v>69</v>
      </c>
      <c r="B98" s="5">
        <v>46088</v>
      </c>
      <c r="C98" t="s">
        <v>51</v>
      </c>
      <c r="D98" t="s">
        <v>156</v>
      </c>
      <c r="E98" t="s">
        <v>53</v>
      </c>
      <c r="F98">
        <v>2</v>
      </c>
      <c r="G98">
        <v>7</v>
      </c>
      <c r="H98">
        <v>0</v>
      </c>
      <c r="I98">
        <v>0</v>
      </c>
      <c r="J98">
        <v>0</v>
      </c>
      <c r="K98" t="s">
        <v>215</v>
      </c>
      <c r="L98" t="s">
        <v>241</v>
      </c>
      <c r="M98" t="s">
        <v>241</v>
      </c>
      <c r="N98" t="s">
        <v>216</v>
      </c>
      <c r="O98" t="s">
        <v>241</v>
      </c>
      <c r="P98" t="s">
        <v>241</v>
      </c>
      <c r="Q98">
        <v>553285621</v>
      </c>
      <c r="R98" s="11">
        <v>46088.945833333331</v>
      </c>
    </row>
    <row r="99" spans="1:18" x14ac:dyDescent="0.25">
      <c r="A99">
        <v>70</v>
      </c>
      <c r="B99" s="5">
        <v>46089</v>
      </c>
      <c r="C99" t="s">
        <v>51</v>
      </c>
      <c r="D99" t="s">
        <v>82</v>
      </c>
      <c r="E99" t="s">
        <v>53</v>
      </c>
      <c r="F99">
        <v>3</v>
      </c>
      <c r="G99">
        <v>20</v>
      </c>
      <c r="H99">
        <v>5</v>
      </c>
      <c r="I99">
        <v>0</v>
      </c>
      <c r="J99">
        <v>0</v>
      </c>
      <c r="K99" t="s">
        <v>178</v>
      </c>
      <c r="L99" t="s">
        <v>241</v>
      </c>
      <c r="M99" t="s">
        <v>241</v>
      </c>
      <c r="N99" t="s">
        <v>217</v>
      </c>
      <c r="O99" t="s">
        <v>241</v>
      </c>
      <c r="P99" t="s">
        <v>241</v>
      </c>
      <c r="Q99">
        <v>569007478</v>
      </c>
      <c r="R99" s="11">
        <v>46088.999305555553</v>
      </c>
    </row>
    <row r="100" spans="1:18" x14ac:dyDescent="0.25">
      <c r="A100">
        <v>71</v>
      </c>
      <c r="B100" s="5">
        <v>46088</v>
      </c>
      <c r="C100" t="s">
        <v>51</v>
      </c>
      <c r="D100" t="s">
        <v>157</v>
      </c>
      <c r="E100" t="s">
        <v>53</v>
      </c>
      <c r="F100">
        <v>2</v>
      </c>
      <c r="G100">
        <v>0</v>
      </c>
      <c r="H100">
        <v>5</v>
      </c>
      <c r="I100">
        <v>0</v>
      </c>
      <c r="J100">
        <v>1</v>
      </c>
      <c r="K100" t="s">
        <v>11</v>
      </c>
      <c r="L100" t="s">
        <v>241</v>
      </c>
      <c r="M100" t="s">
        <v>241</v>
      </c>
      <c r="N100" t="s">
        <v>220</v>
      </c>
      <c r="O100" t="s">
        <v>241</v>
      </c>
      <c r="P100" t="s">
        <v>241</v>
      </c>
      <c r="Q100">
        <v>504227514</v>
      </c>
      <c r="R100" s="11">
        <v>46089.018750000003</v>
      </c>
    </row>
    <row r="101" spans="1:18" x14ac:dyDescent="0.25">
      <c r="A101">
        <v>72</v>
      </c>
      <c r="B101" s="5">
        <v>46088</v>
      </c>
      <c r="C101" t="s">
        <v>75</v>
      </c>
      <c r="D101" t="s">
        <v>102</v>
      </c>
      <c r="E101" t="s">
        <v>76</v>
      </c>
      <c r="F101">
        <v>2</v>
      </c>
      <c r="G101">
        <v>0</v>
      </c>
      <c r="H101">
        <v>6</v>
      </c>
      <c r="I101">
        <v>0</v>
      </c>
      <c r="J101">
        <v>3</v>
      </c>
      <c r="K101" t="s">
        <v>180</v>
      </c>
      <c r="L101" t="s">
        <v>182</v>
      </c>
      <c r="M101" t="s">
        <v>241</v>
      </c>
      <c r="N101" t="s">
        <v>233</v>
      </c>
      <c r="O101" t="s">
        <v>20</v>
      </c>
      <c r="P101" t="s">
        <v>241</v>
      </c>
      <c r="Q101">
        <v>54227695</v>
      </c>
      <c r="R101" s="11">
        <v>46089.052083333336</v>
      </c>
    </row>
    <row r="102" spans="1:18" x14ac:dyDescent="0.25">
      <c r="A102">
        <v>73</v>
      </c>
      <c r="B102" s="5">
        <v>46088</v>
      </c>
      <c r="C102" t="s">
        <v>51</v>
      </c>
      <c r="D102" t="s">
        <v>82</v>
      </c>
      <c r="E102" t="s">
        <v>53</v>
      </c>
      <c r="F102">
        <v>3</v>
      </c>
      <c r="G102">
        <v>0</v>
      </c>
      <c r="H102">
        <v>17</v>
      </c>
      <c r="I102">
        <v>0</v>
      </c>
      <c r="J102">
        <v>0</v>
      </c>
      <c r="K102" t="s">
        <v>245</v>
      </c>
      <c r="L102" t="s">
        <v>241</v>
      </c>
      <c r="M102" t="s">
        <v>241</v>
      </c>
      <c r="N102" t="s">
        <v>213</v>
      </c>
      <c r="O102" t="s">
        <v>241</v>
      </c>
      <c r="P102" t="s">
        <v>241</v>
      </c>
      <c r="Q102">
        <v>509288074</v>
      </c>
      <c r="R102" s="11">
        <v>46089.709027777775</v>
      </c>
    </row>
    <row r="103" spans="1:18" x14ac:dyDescent="0.25">
      <c r="A103">
        <v>74</v>
      </c>
      <c r="B103" s="5">
        <v>46089</v>
      </c>
      <c r="C103" t="s">
        <v>75</v>
      </c>
      <c r="D103" t="s">
        <v>102</v>
      </c>
      <c r="E103" t="s">
        <v>76</v>
      </c>
      <c r="F103">
        <v>2</v>
      </c>
      <c r="G103">
        <v>20</v>
      </c>
      <c r="H103">
        <v>0</v>
      </c>
      <c r="I103">
        <v>0</v>
      </c>
      <c r="J103">
        <v>0</v>
      </c>
      <c r="K103" t="s">
        <v>245</v>
      </c>
      <c r="L103" t="s">
        <v>241</v>
      </c>
      <c r="M103" t="s">
        <v>241</v>
      </c>
      <c r="N103" t="s">
        <v>213</v>
      </c>
      <c r="O103" t="s">
        <v>241</v>
      </c>
      <c r="P103" t="s">
        <v>241</v>
      </c>
      <c r="Q103">
        <v>509288074</v>
      </c>
      <c r="R103" s="11">
        <v>46089.709722222222</v>
      </c>
    </row>
    <row r="104" spans="1:18" x14ac:dyDescent="0.25">
      <c r="A104">
        <v>66</v>
      </c>
      <c r="B104" s="5">
        <v>46088</v>
      </c>
      <c r="C104" t="s">
        <v>51</v>
      </c>
      <c r="D104" t="s">
        <v>82</v>
      </c>
      <c r="E104" t="s">
        <v>53</v>
      </c>
      <c r="F104">
        <v>3</v>
      </c>
      <c r="G104">
        <v>15</v>
      </c>
      <c r="H104">
        <v>0</v>
      </c>
      <c r="I104">
        <v>0</v>
      </c>
      <c r="J104">
        <v>0</v>
      </c>
      <c r="K104" t="s">
        <v>14</v>
      </c>
      <c r="L104" t="s">
        <v>241</v>
      </c>
      <c r="M104" t="s">
        <v>241</v>
      </c>
      <c r="N104" t="s">
        <v>232</v>
      </c>
      <c r="O104" t="s">
        <v>241</v>
      </c>
      <c r="P104" t="s">
        <v>241</v>
      </c>
      <c r="Q104">
        <v>565265112</v>
      </c>
      <c r="R104" s="11">
        <v>46088.623611111114</v>
      </c>
    </row>
    <row r="105" spans="1:18" x14ac:dyDescent="0.25">
      <c r="A105">
        <v>67</v>
      </c>
      <c r="B105" s="5">
        <v>46088</v>
      </c>
      <c r="C105" t="s">
        <v>51</v>
      </c>
      <c r="D105" t="s">
        <v>156</v>
      </c>
      <c r="E105" t="s">
        <v>53</v>
      </c>
      <c r="F105">
        <v>2</v>
      </c>
      <c r="G105">
        <v>7</v>
      </c>
      <c r="H105">
        <v>0</v>
      </c>
      <c r="I105">
        <v>0</v>
      </c>
      <c r="J105">
        <v>0</v>
      </c>
      <c r="K105" t="s">
        <v>177</v>
      </c>
      <c r="L105" t="s">
        <v>241</v>
      </c>
      <c r="M105" t="s">
        <v>241</v>
      </c>
      <c r="N105" t="s">
        <v>185</v>
      </c>
      <c r="O105" t="s">
        <v>241</v>
      </c>
      <c r="P105" t="s">
        <v>241</v>
      </c>
      <c r="Q105">
        <v>508656641</v>
      </c>
      <c r="R105" s="11">
        <v>46088.62777777778</v>
      </c>
    </row>
    <row r="106" spans="1:18" x14ac:dyDescent="0.25">
      <c r="A106">
        <v>68</v>
      </c>
      <c r="B106" s="5">
        <v>46087</v>
      </c>
      <c r="C106" t="s">
        <v>51</v>
      </c>
      <c r="D106" t="s">
        <v>156</v>
      </c>
      <c r="E106" t="s">
        <v>53</v>
      </c>
      <c r="F106">
        <v>2</v>
      </c>
      <c r="G106">
        <v>7</v>
      </c>
      <c r="H106">
        <v>0</v>
      </c>
      <c r="I106">
        <v>0</v>
      </c>
      <c r="J106">
        <v>0</v>
      </c>
      <c r="K106" t="s">
        <v>215</v>
      </c>
      <c r="L106" t="s">
        <v>241</v>
      </c>
      <c r="M106" t="s">
        <v>241</v>
      </c>
      <c r="N106" t="s">
        <v>216</v>
      </c>
      <c r="O106" t="s">
        <v>241</v>
      </c>
      <c r="P106" t="s">
        <v>241</v>
      </c>
      <c r="Q106">
        <v>553285621</v>
      </c>
      <c r="R106" s="11">
        <v>46088.944444444445</v>
      </c>
    </row>
    <row r="107" spans="1:18" x14ac:dyDescent="0.25">
      <c r="A107">
        <v>69</v>
      </c>
      <c r="B107" s="5">
        <v>46088</v>
      </c>
      <c r="C107" t="s">
        <v>51</v>
      </c>
      <c r="D107" t="s">
        <v>156</v>
      </c>
      <c r="E107" t="s">
        <v>53</v>
      </c>
      <c r="F107">
        <v>2</v>
      </c>
      <c r="G107">
        <v>7</v>
      </c>
      <c r="H107">
        <v>0</v>
      </c>
      <c r="I107">
        <v>0</v>
      </c>
      <c r="J107">
        <v>0</v>
      </c>
      <c r="K107" t="s">
        <v>215</v>
      </c>
      <c r="L107" t="s">
        <v>241</v>
      </c>
      <c r="M107" t="s">
        <v>241</v>
      </c>
      <c r="N107" t="s">
        <v>216</v>
      </c>
      <c r="O107" t="s">
        <v>241</v>
      </c>
      <c r="P107" t="s">
        <v>241</v>
      </c>
      <c r="Q107">
        <v>553285621</v>
      </c>
      <c r="R107" s="11">
        <v>46088.945833333331</v>
      </c>
    </row>
    <row r="108" spans="1:18" x14ac:dyDescent="0.25">
      <c r="A108">
        <v>70</v>
      </c>
      <c r="B108" s="5">
        <v>46089</v>
      </c>
      <c r="C108" t="s">
        <v>51</v>
      </c>
      <c r="D108" t="s">
        <v>82</v>
      </c>
      <c r="E108" t="s">
        <v>53</v>
      </c>
      <c r="F108">
        <v>3</v>
      </c>
      <c r="G108">
        <v>20</v>
      </c>
      <c r="H108">
        <v>5</v>
      </c>
      <c r="I108">
        <v>0</v>
      </c>
      <c r="J108">
        <v>0</v>
      </c>
      <c r="K108" t="s">
        <v>178</v>
      </c>
      <c r="L108" t="s">
        <v>241</v>
      </c>
      <c r="M108" t="s">
        <v>241</v>
      </c>
      <c r="N108" t="s">
        <v>217</v>
      </c>
      <c r="O108" t="s">
        <v>241</v>
      </c>
      <c r="P108" t="s">
        <v>241</v>
      </c>
      <c r="Q108">
        <v>569007478</v>
      </c>
      <c r="R108" s="11">
        <v>46088.999305555553</v>
      </c>
    </row>
    <row r="109" spans="1:18" x14ac:dyDescent="0.25">
      <c r="A109">
        <v>71</v>
      </c>
      <c r="B109" s="5">
        <v>46088</v>
      </c>
      <c r="C109" t="s">
        <v>51</v>
      </c>
      <c r="D109" t="s">
        <v>157</v>
      </c>
      <c r="E109" t="s">
        <v>53</v>
      </c>
      <c r="F109">
        <v>2</v>
      </c>
      <c r="G109">
        <v>0</v>
      </c>
      <c r="H109">
        <v>5</v>
      </c>
      <c r="I109">
        <v>0</v>
      </c>
      <c r="J109">
        <v>1</v>
      </c>
      <c r="K109" t="s">
        <v>11</v>
      </c>
      <c r="L109" t="s">
        <v>241</v>
      </c>
      <c r="M109" t="s">
        <v>241</v>
      </c>
      <c r="N109" t="s">
        <v>220</v>
      </c>
      <c r="O109" t="s">
        <v>241</v>
      </c>
      <c r="P109" t="s">
        <v>241</v>
      </c>
      <c r="Q109">
        <v>504227514</v>
      </c>
      <c r="R109" s="11">
        <v>46089.018750000003</v>
      </c>
    </row>
    <row r="110" spans="1:18" x14ac:dyDescent="0.25">
      <c r="A110">
        <v>72</v>
      </c>
      <c r="B110" s="5">
        <v>46088</v>
      </c>
      <c r="C110" t="s">
        <v>75</v>
      </c>
      <c r="D110" t="s">
        <v>102</v>
      </c>
      <c r="E110" t="s">
        <v>76</v>
      </c>
      <c r="F110">
        <v>2</v>
      </c>
      <c r="G110">
        <v>0</v>
      </c>
      <c r="H110">
        <v>6</v>
      </c>
      <c r="I110">
        <v>0</v>
      </c>
      <c r="J110">
        <v>3</v>
      </c>
      <c r="K110" t="s">
        <v>180</v>
      </c>
      <c r="L110" t="s">
        <v>182</v>
      </c>
      <c r="M110" t="s">
        <v>241</v>
      </c>
      <c r="N110" t="s">
        <v>233</v>
      </c>
      <c r="O110" t="s">
        <v>20</v>
      </c>
      <c r="P110" t="s">
        <v>241</v>
      </c>
      <c r="Q110">
        <v>54227695</v>
      </c>
      <c r="R110" s="11">
        <v>46089.052083333336</v>
      </c>
    </row>
    <row r="111" spans="1:18" x14ac:dyDescent="0.25">
      <c r="A111">
        <v>73</v>
      </c>
      <c r="B111" s="5">
        <v>46088</v>
      </c>
      <c r="C111" t="s">
        <v>51</v>
      </c>
      <c r="D111" t="s">
        <v>82</v>
      </c>
      <c r="E111" t="s">
        <v>53</v>
      </c>
      <c r="F111">
        <v>3</v>
      </c>
      <c r="G111">
        <v>0</v>
      </c>
      <c r="H111">
        <v>17</v>
      </c>
      <c r="I111">
        <v>0</v>
      </c>
      <c r="J111">
        <v>0</v>
      </c>
      <c r="K111" t="s">
        <v>245</v>
      </c>
      <c r="L111" t="s">
        <v>241</v>
      </c>
      <c r="M111" t="s">
        <v>241</v>
      </c>
      <c r="N111" t="s">
        <v>213</v>
      </c>
      <c r="O111" t="s">
        <v>241</v>
      </c>
      <c r="P111" t="s">
        <v>241</v>
      </c>
      <c r="Q111">
        <v>509288074</v>
      </c>
      <c r="R111" s="11">
        <v>46089.709027777775</v>
      </c>
    </row>
    <row r="112" spans="1:18" x14ac:dyDescent="0.25">
      <c r="A112">
        <v>74</v>
      </c>
      <c r="B112" s="5">
        <v>46089</v>
      </c>
      <c r="C112" t="s">
        <v>75</v>
      </c>
      <c r="D112" t="s">
        <v>102</v>
      </c>
      <c r="E112" t="s">
        <v>76</v>
      </c>
      <c r="F112">
        <v>2</v>
      </c>
      <c r="G112">
        <v>20</v>
      </c>
      <c r="H112">
        <v>0</v>
      </c>
      <c r="I112">
        <v>0</v>
      </c>
      <c r="J112">
        <v>0</v>
      </c>
      <c r="K112" t="s">
        <v>245</v>
      </c>
      <c r="L112" t="s">
        <v>241</v>
      </c>
      <c r="M112" t="s">
        <v>241</v>
      </c>
      <c r="N112" t="s">
        <v>213</v>
      </c>
      <c r="O112" t="s">
        <v>241</v>
      </c>
      <c r="P112" t="s">
        <v>241</v>
      </c>
      <c r="Q112">
        <v>509288074</v>
      </c>
      <c r="R112" s="11">
        <v>46089.709722222222</v>
      </c>
    </row>
    <row r="113" spans="1:18" x14ac:dyDescent="0.25">
      <c r="A113">
        <v>75</v>
      </c>
      <c r="B113" s="5">
        <v>46089</v>
      </c>
      <c r="C113" t="s">
        <v>75</v>
      </c>
      <c r="D113" t="s">
        <v>158</v>
      </c>
      <c r="E113" t="s">
        <v>76</v>
      </c>
      <c r="F113">
        <v>2</v>
      </c>
      <c r="G113">
        <v>2</v>
      </c>
      <c r="H113">
        <v>4</v>
      </c>
      <c r="I113">
        <v>0</v>
      </c>
      <c r="J113">
        <v>2</v>
      </c>
      <c r="K113" t="s">
        <v>169</v>
      </c>
      <c r="L113" t="s">
        <v>22</v>
      </c>
      <c r="M113" t="s">
        <v>241</v>
      </c>
      <c r="N113" t="s">
        <v>225</v>
      </c>
      <c r="O113" t="s">
        <v>241</v>
      </c>
      <c r="P113" t="s">
        <v>241</v>
      </c>
      <c r="Q113" s="13" t="s">
        <v>941</v>
      </c>
      <c r="R113" s="11">
        <v>46090.165277777778</v>
      </c>
    </row>
    <row r="114" spans="1:18" x14ac:dyDescent="0.25">
      <c r="A114">
        <v>76</v>
      </c>
      <c r="B114" s="5">
        <v>46090</v>
      </c>
      <c r="C114" t="s">
        <v>51</v>
      </c>
      <c r="D114" t="s">
        <v>113</v>
      </c>
      <c r="E114" t="s">
        <v>53</v>
      </c>
      <c r="F114">
        <v>2</v>
      </c>
      <c r="G114">
        <v>20</v>
      </c>
      <c r="H114">
        <v>0</v>
      </c>
      <c r="I114">
        <v>0</v>
      </c>
      <c r="J114">
        <v>0</v>
      </c>
      <c r="K114" t="s">
        <v>15</v>
      </c>
      <c r="L114" t="s">
        <v>241</v>
      </c>
      <c r="M114" t="s">
        <v>241</v>
      </c>
      <c r="N114" t="s">
        <v>231</v>
      </c>
      <c r="O114" t="s">
        <v>241</v>
      </c>
      <c r="P114" t="s">
        <v>241</v>
      </c>
      <c r="Q114" s="13" t="s">
        <v>942</v>
      </c>
      <c r="R114" s="11">
        <v>46090.473611111112</v>
      </c>
    </row>
    <row r="115" spans="1:18" x14ac:dyDescent="0.25">
      <c r="A115">
        <v>77</v>
      </c>
      <c r="B115" s="5">
        <v>46090</v>
      </c>
      <c r="C115" t="s">
        <v>51</v>
      </c>
      <c r="D115" t="s">
        <v>156</v>
      </c>
      <c r="E115" t="s">
        <v>53</v>
      </c>
      <c r="F115">
        <v>2</v>
      </c>
      <c r="G115">
        <v>9</v>
      </c>
      <c r="H115">
        <v>0</v>
      </c>
      <c r="I115">
        <v>0</v>
      </c>
      <c r="J115">
        <v>0</v>
      </c>
      <c r="K115" t="s">
        <v>177</v>
      </c>
      <c r="L115" t="s">
        <v>241</v>
      </c>
      <c r="M115" t="s">
        <v>241</v>
      </c>
      <c r="N115" t="s">
        <v>185</v>
      </c>
      <c r="O115" t="s">
        <v>241</v>
      </c>
      <c r="P115" t="s">
        <v>241</v>
      </c>
      <c r="Q115">
        <v>508656641</v>
      </c>
      <c r="R115" s="11">
        <v>46090.523611111108</v>
      </c>
    </row>
    <row r="116" spans="1:18" x14ac:dyDescent="0.25">
      <c r="A116">
        <v>78</v>
      </c>
      <c r="B116" s="5">
        <v>46090</v>
      </c>
      <c r="C116" t="s">
        <v>51</v>
      </c>
      <c r="D116" t="s">
        <v>137</v>
      </c>
      <c r="E116" t="s">
        <v>53</v>
      </c>
      <c r="F116">
        <v>1</v>
      </c>
      <c r="G116">
        <v>0</v>
      </c>
      <c r="H116">
        <v>15</v>
      </c>
      <c r="I116">
        <v>0</v>
      </c>
      <c r="J116">
        <v>0</v>
      </c>
      <c r="K116" t="s">
        <v>13</v>
      </c>
      <c r="L116" t="s">
        <v>241</v>
      </c>
      <c r="M116" t="s">
        <v>241</v>
      </c>
      <c r="N116" t="s">
        <v>230</v>
      </c>
      <c r="O116" t="s">
        <v>241</v>
      </c>
      <c r="P116" t="s">
        <v>241</v>
      </c>
      <c r="Q116" s="13" t="s">
        <v>942</v>
      </c>
      <c r="R116" s="11">
        <v>46090.544444444444</v>
      </c>
    </row>
    <row r="117" spans="1:18" x14ac:dyDescent="0.25">
      <c r="A117">
        <v>79</v>
      </c>
      <c r="B117" s="5">
        <v>46089</v>
      </c>
      <c r="C117" t="s">
        <v>75</v>
      </c>
      <c r="D117" t="s">
        <v>158</v>
      </c>
      <c r="E117" t="s">
        <v>76</v>
      </c>
      <c r="F117">
        <v>2</v>
      </c>
      <c r="G117">
        <v>2</v>
      </c>
      <c r="H117">
        <v>4</v>
      </c>
      <c r="I117">
        <v>0</v>
      </c>
      <c r="J117">
        <v>2</v>
      </c>
      <c r="K117" t="s">
        <v>169</v>
      </c>
      <c r="L117" t="s">
        <v>22</v>
      </c>
      <c r="M117" t="s">
        <v>241</v>
      </c>
      <c r="N117" t="s">
        <v>225</v>
      </c>
      <c r="O117" t="s">
        <v>241</v>
      </c>
      <c r="P117" t="s">
        <v>241</v>
      </c>
      <c r="Q117" s="13" t="s">
        <v>941</v>
      </c>
      <c r="R117" s="11">
        <v>46090.54583333333</v>
      </c>
    </row>
    <row r="118" spans="1:18" x14ac:dyDescent="0.25">
      <c r="A118">
        <v>80</v>
      </c>
      <c r="B118" s="5">
        <v>46090</v>
      </c>
      <c r="C118" t="s">
        <v>51</v>
      </c>
      <c r="D118" t="s">
        <v>82</v>
      </c>
      <c r="E118" t="s">
        <v>53</v>
      </c>
      <c r="F118">
        <v>3</v>
      </c>
      <c r="G118">
        <v>10</v>
      </c>
      <c r="H118">
        <v>0</v>
      </c>
      <c r="I118">
        <v>0</v>
      </c>
      <c r="J118">
        <v>0</v>
      </c>
      <c r="K118" t="s">
        <v>14</v>
      </c>
      <c r="L118" t="s">
        <v>241</v>
      </c>
      <c r="M118" t="s">
        <v>241</v>
      </c>
      <c r="N118" t="s">
        <v>232</v>
      </c>
      <c r="O118" t="s">
        <v>241</v>
      </c>
      <c r="P118" t="s">
        <v>241</v>
      </c>
      <c r="Q118">
        <v>565265112</v>
      </c>
      <c r="R118" s="11">
        <v>46090.670138888891</v>
      </c>
    </row>
    <row r="119" spans="1:18" x14ac:dyDescent="0.25">
      <c r="A119">
        <v>81</v>
      </c>
      <c r="B119" s="5">
        <v>46090</v>
      </c>
      <c r="C119" t="s">
        <v>51</v>
      </c>
      <c r="D119" t="s">
        <v>156</v>
      </c>
      <c r="E119" t="s">
        <v>53</v>
      </c>
      <c r="F119">
        <v>2</v>
      </c>
      <c r="G119">
        <v>10</v>
      </c>
      <c r="H119">
        <v>0</v>
      </c>
      <c r="I119">
        <v>0</v>
      </c>
      <c r="J119">
        <v>0</v>
      </c>
      <c r="K119" t="s">
        <v>215</v>
      </c>
      <c r="L119" t="s">
        <v>241</v>
      </c>
      <c r="M119" t="s">
        <v>241</v>
      </c>
      <c r="N119" t="s">
        <v>216</v>
      </c>
      <c r="O119" t="s">
        <v>241</v>
      </c>
      <c r="P119" t="s">
        <v>241</v>
      </c>
      <c r="Q119">
        <v>553285621</v>
      </c>
      <c r="R119" s="11">
        <v>46090.862500000003</v>
      </c>
    </row>
    <row r="120" spans="1:18" x14ac:dyDescent="0.25">
      <c r="A120">
        <v>82</v>
      </c>
      <c r="B120" s="5">
        <v>46090</v>
      </c>
      <c r="C120" t="s">
        <v>51</v>
      </c>
      <c r="D120" t="s">
        <v>156</v>
      </c>
      <c r="E120" t="s">
        <v>53</v>
      </c>
      <c r="F120">
        <v>2</v>
      </c>
      <c r="G120">
        <v>10</v>
      </c>
      <c r="H120">
        <v>0</v>
      </c>
      <c r="I120">
        <v>0</v>
      </c>
      <c r="J120">
        <v>0</v>
      </c>
      <c r="K120" t="s">
        <v>215</v>
      </c>
      <c r="L120" t="s">
        <v>241</v>
      </c>
      <c r="M120" t="s">
        <v>241</v>
      </c>
      <c r="N120" t="s">
        <v>216</v>
      </c>
      <c r="O120" t="s">
        <v>241</v>
      </c>
      <c r="P120" t="s">
        <v>241</v>
      </c>
      <c r="Q120">
        <v>553285621</v>
      </c>
      <c r="R120" s="11">
        <v>46090.863194444442</v>
      </c>
    </row>
    <row r="121" spans="1:18" x14ac:dyDescent="0.25">
      <c r="A121">
        <v>83</v>
      </c>
      <c r="B121" s="5">
        <v>46091</v>
      </c>
      <c r="C121" t="s">
        <v>51</v>
      </c>
      <c r="D121" t="s">
        <v>82</v>
      </c>
      <c r="E121" t="s">
        <v>53</v>
      </c>
      <c r="F121">
        <v>3</v>
      </c>
      <c r="G121">
        <v>26</v>
      </c>
      <c r="H121">
        <v>0</v>
      </c>
      <c r="I121">
        <v>0</v>
      </c>
      <c r="J121">
        <v>0</v>
      </c>
      <c r="K121" t="s">
        <v>178</v>
      </c>
      <c r="L121" t="s">
        <v>241</v>
      </c>
      <c r="M121" t="s">
        <v>241</v>
      </c>
      <c r="N121" t="s">
        <v>217</v>
      </c>
      <c r="O121" t="s">
        <v>241</v>
      </c>
      <c r="P121" t="s">
        <v>241</v>
      </c>
      <c r="Q121">
        <v>569007478</v>
      </c>
      <c r="R121" s="11">
        <v>46090.997916666667</v>
      </c>
    </row>
    <row r="122" spans="1:18" x14ac:dyDescent="0.25">
      <c r="A122">
        <v>84</v>
      </c>
      <c r="B122" s="5">
        <v>46090</v>
      </c>
      <c r="C122" t="s">
        <v>51</v>
      </c>
      <c r="D122" t="s">
        <v>157</v>
      </c>
      <c r="E122" t="s">
        <v>53</v>
      </c>
      <c r="F122">
        <v>2</v>
      </c>
      <c r="G122">
        <v>12</v>
      </c>
      <c r="H122">
        <v>0</v>
      </c>
      <c r="I122">
        <v>0</v>
      </c>
      <c r="J122">
        <v>0</v>
      </c>
      <c r="K122" t="s">
        <v>11</v>
      </c>
      <c r="L122" t="s">
        <v>241</v>
      </c>
      <c r="M122" t="s">
        <v>241</v>
      </c>
      <c r="N122" t="s">
        <v>220</v>
      </c>
      <c r="O122" t="s">
        <v>241</v>
      </c>
      <c r="P122" t="s">
        <v>241</v>
      </c>
      <c r="Q122">
        <v>504227514</v>
      </c>
      <c r="R122" s="11">
        <v>46091.013194444444</v>
      </c>
    </row>
    <row r="123" spans="1:18" x14ac:dyDescent="0.25">
      <c r="A123">
        <v>85</v>
      </c>
      <c r="B123" s="5">
        <v>46091</v>
      </c>
      <c r="C123" t="s">
        <v>75</v>
      </c>
      <c r="D123" t="s">
        <v>102</v>
      </c>
      <c r="E123" t="s">
        <v>76</v>
      </c>
      <c r="F123">
        <v>2</v>
      </c>
      <c r="G123">
        <v>10</v>
      </c>
      <c r="H123">
        <v>1</v>
      </c>
      <c r="I123">
        <v>0</v>
      </c>
      <c r="J123">
        <v>5</v>
      </c>
      <c r="K123" t="s">
        <v>182</v>
      </c>
      <c r="L123" t="s">
        <v>180</v>
      </c>
      <c r="M123" t="s">
        <v>241</v>
      </c>
      <c r="N123" t="s">
        <v>20</v>
      </c>
      <c r="O123" t="s">
        <v>233</v>
      </c>
      <c r="P123" t="s">
        <v>241</v>
      </c>
      <c r="Q123">
        <v>54227695</v>
      </c>
      <c r="R123" s="11">
        <v>46091.032638888886</v>
      </c>
    </row>
    <row r="124" spans="1:18" x14ac:dyDescent="0.25">
      <c r="A124">
        <v>86</v>
      </c>
      <c r="B124" s="5">
        <v>46090</v>
      </c>
      <c r="C124" t="s">
        <v>51</v>
      </c>
      <c r="D124" t="s">
        <v>154</v>
      </c>
      <c r="E124" t="s">
        <v>53</v>
      </c>
      <c r="F124">
        <v>3</v>
      </c>
      <c r="G124">
        <v>20</v>
      </c>
      <c r="H124">
        <v>0</v>
      </c>
      <c r="I124">
        <v>0</v>
      </c>
      <c r="J124">
        <v>0</v>
      </c>
      <c r="K124" t="s">
        <v>245</v>
      </c>
      <c r="L124" t="s">
        <v>241</v>
      </c>
      <c r="M124" t="s">
        <v>241</v>
      </c>
      <c r="N124" t="s">
        <v>241</v>
      </c>
      <c r="O124" t="s">
        <v>241</v>
      </c>
      <c r="P124" t="s">
        <v>241</v>
      </c>
      <c r="Q124">
        <v>509288074</v>
      </c>
      <c r="R124" s="11">
        <v>46091.344444444447</v>
      </c>
    </row>
    <row r="125" spans="1:18" x14ac:dyDescent="0.25">
      <c r="A125">
        <v>87</v>
      </c>
      <c r="B125" s="5">
        <v>46090</v>
      </c>
      <c r="C125" t="s">
        <v>75</v>
      </c>
      <c r="D125" t="s">
        <v>158</v>
      </c>
      <c r="E125" t="s">
        <v>76</v>
      </c>
      <c r="F125">
        <v>2</v>
      </c>
      <c r="G125">
        <v>0</v>
      </c>
      <c r="H125">
        <v>6</v>
      </c>
      <c r="I125">
        <v>0</v>
      </c>
      <c r="J125">
        <v>0</v>
      </c>
      <c r="K125" t="s">
        <v>169</v>
      </c>
      <c r="L125" t="s">
        <v>22</v>
      </c>
      <c r="M125" t="s">
        <v>241</v>
      </c>
      <c r="N125" t="s">
        <v>225</v>
      </c>
      <c r="O125" t="s">
        <v>23</v>
      </c>
      <c r="P125" t="s">
        <v>241</v>
      </c>
      <c r="Q125" s="13" t="s">
        <v>941</v>
      </c>
      <c r="R125" s="11">
        <v>46091.474305555559</v>
      </c>
    </row>
    <row r="126" spans="1:18" x14ac:dyDescent="0.25">
      <c r="A126">
        <v>88</v>
      </c>
      <c r="B126" s="5">
        <v>46091</v>
      </c>
      <c r="C126" t="s">
        <v>75</v>
      </c>
      <c r="D126" t="s">
        <v>158</v>
      </c>
      <c r="E126" t="s">
        <v>76</v>
      </c>
      <c r="F126">
        <v>2</v>
      </c>
      <c r="G126">
        <v>20</v>
      </c>
      <c r="H126">
        <v>0</v>
      </c>
      <c r="I126">
        <v>0</v>
      </c>
      <c r="J126">
        <v>0</v>
      </c>
      <c r="K126" t="s">
        <v>169</v>
      </c>
      <c r="L126" t="s">
        <v>22</v>
      </c>
      <c r="M126" t="s">
        <v>241</v>
      </c>
      <c r="N126" t="s">
        <v>225</v>
      </c>
      <c r="O126" t="s">
        <v>241</v>
      </c>
      <c r="P126" t="s">
        <v>241</v>
      </c>
      <c r="Q126" s="13" t="s">
        <v>941</v>
      </c>
      <c r="R126" s="11">
        <v>46091.474999999999</v>
      </c>
    </row>
    <row r="127" spans="1:18" x14ac:dyDescent="0.25">
      <c r="A127">
        <v>89</v>
      </c>
      <c r="B127" s="5">
        <v>46091</v>
      </c>
      <c r="C127" t="s">
        <v>51</v>
      </c>
      <c r="D127" t="s">
        <v>71</v>
      </c>
      <c r="E127" t="s">
        <v>53</v>
      </c>
      <c r="F127">
        <v>2</v>
      </c>
      <c r="G127">
        <v>12</v>
      </c>
      <c r="H127">
        <v>0</v>
      </c>
      <c r="I127">
        <v>0</v>
      </c>
      <c r="J127">
        <v>0</v>
      </c>
      <c r="K127" t="s">
        <v>14</v>
      </c>
      <c r="L127" t="s">
        <v>241</v>
      </c>
      <c r="M127" t="s">
        <v>241</v>
      </c>
      <c r="N127" t="s">
        <v>232</v>
      </c>
      <c r="O127" t="s">
        <v>241</v>
      </c>
      <c r="P127" t="s">
        <v>241</v>
      </c>
      <c r="Q127">
        <v>565265112</v>
      </c>
      <c r="R127" s="11">
        <v>46091.517361111109</v>
      </c>
    </row>
    <row r="128" spans="1:18" x14ac:dyDescent="0.25">
      <c r="A128">
        <v>90</v>
      </c>
      <c r="B128" s="5">
        <v>46091</v>
      </c>
      <c r="C128" t="s">
        <v>51</v>
      </c>
      <c r="D128" t="s">
        <v>137</v>
      </c>
      <c r="E128" t="s">
        <v>53</v>
      </c>
      <c r="F128">
        <v>1</v>
      </c>
      <c r="G128">
        <v>15</v>
      </c>
      <c r="H128">
        <v>0</v>
      </c>
      <c r="I128">
        <v>0</v>
      </c>
      <c r="J128">
        <v>0</v>
      </c>
      <c r="K128" t="s">
        <v>13</v>
      </c>
      <c r="L128" t="s">
        <v>241</v>
      </c>
      <c r="M128" t="s">
        <v>241</v>
      </c>
      <c r="N128" t="s">
        <v>230</v>
      </c>
      <c r="O128" t="s">
        <v>241</v>
      </c>
      <c r="P128" t="s">
        <v>241</v>
      </c>
      <c r="Q128" s="13" t="s">
        <v>942</v>
      </c>
      <c r="R128" s="11">
        <v>46091.65</v>
      </c>
    </row>
    <row r="129" spans="1:18" x14ac:dyDescent="0.25">
      <c r="A129">
        <v>91</v>
      </c>
      <c r="B129" s="5">
        <v>46084</v>
      </c>
      <c r="C129" t="s">
        <v>51</v>
      </c>
      <c r="D129" t="s">
        <v>237</v>
      </c>
      <c r="E129" t="s">
        <v>100</v>
      </c>
      <c r="F129">
        <v>2</v>
      </c>
      <c r="G129">
        <v>0</v>
      </c>
      <c r="H129">
        <v>0</v>
      </c>
      <c r="I129">
        <v>40</v>
      </c>
      <c r="J129">
        <v>0</v>
      </c>
      <c r="K129" t="s">
        <v>184</v>
      </c>
      <c r="L129" t="s">
        <v>241</v>
      </c>
      <c r="M129" t="s">
        <v>241</v>
      </c>
      <c r="N129" t="s">
        <v>241</v>
      </c>
      <c r="O129" t="s">
        <v>241</v>
      </c>
      <c r="P129" t="s">
        <v>241</v>
      </c>
      <c r="Q129" s="13" t="s">
        <v>942</v>
      </c>
      <c r="R129" s="11">
        <v>46091.672222222223</v>
      </c>
    </row>
    <row r="130" spans="1:18" x14ac:dyDescent="0.25">
      <c r="A130">
        <v>92</v>
      </c>
      <c r="B130" s="5">
        <v>46085</v>
      </c>
      <c r="C130" t="s">
        <v>51</v>
      </c>
      <c r="D130" t="s">
        <v>237</v>
      </c>
      <c r="E130" t="s">
        <v>100</v>
      </c>
      <c r="F130">
        <v>2</v>
      </c>
      <c r="G130">
        <v>0</v>
      </c>
      <c r="H130">
        <v>0</v>
      </c>
      <c r="I130">
        <v>50</v>
      </c>
      <c r="J130">
        <v>0</v>
      </c>
      <c r="K130" t="s">
        <v>184</v>
      </c>
      <c r="L130" t="s">
        <v>241</v>
      </c>
      <c r="M130" t="s">
        <v>241</v>
      </c>
      <c r="N130" t="s">
        <v>241</v>
      </c>
      <c r="O130" t="s">
        <v>241</v>
      </c>
      <c r="P130" t="s">
        <v>241</v>
      </c>
      <c r="Q130" s="13" t="s">
        <v>942</v>
      </c>
      <c r="R130" s="11">
        <v>46091.67291666667</v>
      </c>
    </row>
    <row r="131" spans="1:18" x14ac:dyDescent="0.25">
      <c r="A131">
        <v>93</v>
      </c>
      <c r="B131" s="5">
        <v>46086</v>
      </c>
      <c r="C131" t="s">
        <v>51</v>
      </c>
      <c r="D131" t="s">
        <v>237</v>
      </c>
      <c r="E131" t="s">
        <v>100</v>
      </c>
      <c r="F131">
        <v>2</v>
      </c>
      <c r="G131">
        <v>25</v>
      </c>
      <c r="H131">
        <v>0</v>
      </c>
      <c r="I131">
        <v>0</v>
      </c>
      <c r="J131">
        <v>0</v>
      </c>
      <c r="K131" t="s">
        <v>184</v>
      </c>
      <c r="L131" t="s">
        <v>241</v>
      </c>
      <c r="M131" t="s">
        <v>241</v>
      </c>
      <c r="N131" t="s">
        <v>241</v>
      </c>
      <c r="O131" t="s">
        <v>241</v>
      </c>
      <c r="P131" t="s">
        <v>241</v>
      </c>
      <c r="Q131" s="13" t="s">
        <v>942</v>
      </c>
      <c r="R131" s="11">
        <v>46091.673611111109</v>
      </c>
    </row>
    <row r="132" spans="1:18" x14ac:dyDescent="0.25">
      <c r="A132">
        <v>94</v>
      </c>
      <c r="B132" s="5">
        <v>46087</v>
      </c>
      <c r="C132" t="s">
        <v>51</v>
      </c>
      <c r="D132" t="s">
        <v>237</v>
      </c>
      <c r="E132" t="s">
        <v>100</v>
      </c>
      <c r="F132">
        <v>2</v>
      </c>
      <c r="G132">
        <v>25</v>
      </c>
      <c r="H132">
        <v>0</v>
      </c>
      <c r="I132">
        <v>0</v>
      </c>
      <c r="J132">
        <v>0</v>
      </c>
      <c r="K132" t="s">
        <v>184</v>
      </c>
      <c r="L132" t="s">
        <v>241</v>
      </c>
      <c r="M132" t="s">
        <v>241</v>
      </c>
      <c r="N132" t="s">
        <v>241</v>
      </c>
      <c r="O132" t="s">
        <v>241</v>
      </c>
      <c r="P132" t="s">
        <v>241</v>
      </c>
      <c r="Q132" s="13" t="s">
        <v>942</v>
      </c>
      <c r="R132" s="11">
        <v>46091.674305555556</v>
      </c>
    </row>
    <row r="133" spans="1:18" x14ac:dyDescent="0.25">
      <c r="A133">
        <v>95</v>
      </c>
      <c r="B133" s="5">
        <v>46088</v>
      </c>
      <c r="C133" t="s">
        <v>51</v>
      </c>
      <c r="D133" t="s">
        <v>237</v>
      </c>
      <c r="E133" t="s">
        <v>100</v>
      </c>
      <c r="F133">
        <v>2</v>
      </c>
      <c r="G133">
        <v>20</v>
      </c>
      <c r="H133">
        <v>0</v>
      </c>
      <c r="I133">
        <v>0</v>
      </c>
      <c r="J133">
        <v>0</v>
      </c>
      <c r="K133" t="s">
        <v>184</v>
      </c>
      <c r="L133" t="s">
        <v>241</v>
      </c>
      <c r="M133" t="s">
        <v>241</v>
      </c>
      <c r="N133" t="s">
        <v>241</v>
      </c>
      <c r="O133" t="s">
        <v>241</v>
      </c>
      <c r="P133" t="s">
        <v>241</v>
      </c>
      <c r="Q133" s="13" t="s">
        <v>942</v>
      </c>
      <c r="R133" s="11">
        <v>46091.675000000003</v>
      </c>
    </row>
    <row r="134" spans="1:18" x14ac:dyDescent="0.25">
      <c r="A134">
        <v>96</v>
      </c>
      <c r="B134" s="5">
        <v>46090</v>
      </c>
      <c r="C134" t="s">
        <v>51</v>
      </c>
      <c r="D134" t="s">
        <v>237</v>
      </c>
      <c r="E134" t="s">
        <v>100</v>
      </c>
      <c r="F134">
        <v>2</v>
      </c>
      <c r="G134">
        <v>20</v>
      </c>
      <c r="H134">
        <v>0</v>
      </c>
      <c r="I134">
        <v>0</v>
      </c>
      <c r="J134">
        <v>0</v>
      </c>
      <c r="K134" t="s">
        <v>184</v>
      </c>
      <c r="L134" t="s">
        <v>241</v>
      </c>
      <c r="M134" t="s">
        <v>241</v>
      </c>
      <c r="N134" t="s">
        <v>241</v>
      </c>
      <c r="O134" t="s">
        <v>241</v>
      </c>
      <c r="P134" t="s">
        <v>241</v>
      </c>
      <c r="Q134" s="13" t="s">
        <v>942</v>
      </c>
      <c r="R134" s="11">
        <v>46091.675000000003</v>
      </c>
    </row>
    <row r="135" spans="1:18" x14ac:dyDescent="0.25">
      <c r="A135">
        <v>97</v>
      </c>
      <c r="B135" s="5">
        <v>46091</v>
      </c>
      <c r="C135" t="s">
        <v>51</v>
      </c>
      <c r="D135" t="s">
        <v>237</v>
      </c>
      <c r="E135" t="s">
        <v>100</v>
      </c>
      <c r="F135">
        <v>2</v>
      </c>
      <c r="G135">
        <v>20</v>
      </c>
      <c r="H135">
        <v>0</v>
      </c>
      <c r="I135">
        <v>0</v>
      </c>
      <c r="J135">
        <v>0</v>
      </c>
      <c r="K135" t="s">
        <v>184</v>
      </c>
      <c r="L135" t="s">
        <v>241</v>
      </c>
      <c r="M135" t="s">
        <v>241</v>
      </c>
      <c r="N135" t="s">
        <v>241</v>
      </c>
      <c r="O135" t="s">
        <v>241</v>
      </c>
      <c r="P135" t="s">
        <v>241</v>
      </c>
      <c r="Q135" s="13" t="s">
        <v>942</v>
      </c>
      <c r="R135" s="11">
        <v>46091.675000000003</v>
      </c>
    </row>
    <row r="136" spans="1:18" x14ac:dyDescent="0.25">
      <c r="A136">
        <v>98</v>
      </c>
      <c r="B136" s="5">
        <v>46091</v>
      </c>
      <c r="C136" t="s">
        <v>51</v>
      </c>
      <c r="D136" t="s">
        <v>156</v>
      </c>
      <c r="E136" t="s">
        <v>53</v>
      </c>
      <c r="F136">
        <v>2</v>
      </c>
      <c r="G136">
        <v>14</v>
      </c>
      <c r="H136">
        <v>0</v>
      </c>
      <c r="I136">
        <v>0</v>
      </c>
      <c r="J136">
        <v>0</v>
      </c>
      <c r="K136" t="s">
        <v>215</v>
      </c>
      <c r="L136" t="s">
        <v>241</v>
      </c>
      <c r="M136" t="s">
        <v>241</v>
      </c>
      <c r="N136" t="s">
        <v>216</v>
      </c>
      <c r="O136" t="s">
        <v>241</v>
      </c>
      <c r="P136" t="s">
        <v>241</v>
      </c>
      <c r="Q136">
        <v>553285621</v>
      </c>
      <c r="R136" s="11">
        <v>46091.786111111112</v>
      </c>
    </row>
    <row r="137" spans="1:18" x14ac:dyDescent="0.25">
      <c r="A137">
        <v>99</v>
      </c>
      <c r="B137" s="5">
        <v>46092</v>
      </c>
      <c r="C137" t="s">
        <v>51</v>
      </c>
      <c r="D137" t="s">
        <v>160</v>
      </c>
      <c r="E137" t="s">
        <v>53</v>
      </c>
      <c r="F137">
        <v>3</v>
      </c>
      <c r="G137">
        <v>26</v>
      </c>
      <c r="H137">
        <v>0</v>
      </c>
      <c r="I137">
        <v>0</v>
      </c>
      <c r="J137">
        <v>0</v>
      </c>
      <c r="K137" t="s">
        <v>178</v>
      </c>
      <c r="L137" t="s">
        <v>241</v>
      </c>
      <c r="M137" t="s">
        <v>241</v>
      </c>
      <c r="N137" t="s">
        <v>217</v>
      </c>
      <c r="O137" t="s">
        <v>241</v>
      </c>
      <c r="P137" t="s">
        <v>241</v>
      </c>
      <c r="Q137">
        <v>569007478</v>
      </c>
      <c r="R137" s="11">
        <v>46092.015277777777</v>
      </c>
    </row>
    <row r="138" spans="1:18" x14ac:dyDescent="0.25">
      <c r="A138">
        <v>100</v>
      </c>
      <c r="B138" s="5">
        <v>46092</v>
      </c>
      <c r="C138" t="s">
        <v>51</v>
      </c>
      <c r="D138" t="s">
        <v>113</v>
      </c>
      <c r="E138" t="s">
        <v>53</v>
      </c>
      <c r="F138">
        <v>2</v>
      </c>
      <c r="G138">
        <v>0</v>
      </c>
      <c r="H138">
        <v>0</v>
      </c>
      <c r="I138">
        <v>40</v>
      </c>
      <c r="J138">
        <v>0</v>
      </c>
      <c r="K138" t="s">
        <v>15</v>
      </c>
      <c r="L138" t="s">
        <v>241</v>
      </c>
      <c r="M138" t="s">
        <v>241</v>
      </c>
      <c r="N138" t="s">
        <v>231</v>
      </c>
      <c r="O138" t="s">
        <v>241</v>
      </c>
      <c r="P138" t="s">
        <v>241</v>
      </c>
      <c r="Q138" s="13" t="s">
        <v>942</v>
      </c>
      <c r="R138" s="11">
        <v>46092.520138888889</v>
      </c>
    </row>
    <row r="139" spans="1:18" x14ac:dyDescent="0.25">
      <c r="A139">
        <v>101</v>
      </c>
      <c r="B139" s="5">
        <v>46092</v>
      </c>
      <c r="C139" t="s">
        <v>51</v>
      </c>
      <c r="D139" t="s">
        <v>71</v>
      </c>
      <c r="E139" t="s">
        <v>53</v>
      </c>
      <c r="F139">
        <v>2</v>
      </c>
      <c r="G139">
        <v>18</v>
      </c>
      <c r="H139">
        <v>0</v>
      </c>
      <c r="I139">
        <v>0</v>
      </c>
      <c r="J139">
        <v>0</v>
      </c>
      <c r="K139" t="s">
        <v>14</v>
      </c>
      <c r="L139" t="s">
        <v>241</v>
      </c>
      <c r="M139" t="s">
        <v>241</v>
      </c>
      <c r="N139" t="s">
        <v>232</v>
      </c>
      <c r="O139" t="s">
        <v>241</v>
      </c>
      <c r="P139" t="s">
        <v>241</v>
      </c>
      <c r="Q139">
        <v>565265112</v>
      </c>
      <c r="R139" s="11">
        <v>46092.591666666667</v>
      </c>
    </row>
    <row r="140" spans="1:18" x14ac:dyDescent="0.25">
      <c r="A140">
        <v>102</v>
      </c>
      <c r="B140" s="5">
        <v>46091</v>
      </c>
      <c r="C140" t="s">
        <v>75</v>
      </c>
      <c r="D140" t="s">
        <v>102</v>
      </c>
      <c r="E140" t="s">
        <v>76</v>
      </c>
      <c r="F140">
        <v>2</v>
      </c>
      <c r="G140">
        <v>14</v>
      </c>
      <c r="H140">
        <v>0</v>
      </c>
      <c r="I140">
        <v>14</v>
      </c>
      <c r="J140">
        <v>0</v>
      </c>
      <c r="K140" t="s">
        <v>180</v>
      </c>
      <c r="L140" t="s">
        <v>182</v>
      </c>
      <c r="M140" t="s">
        <v>241</v>
      </c>
      <c r="N140" t="s">
        <v>233</v>
      </c>
      <c r="O140" t="s">
        <v>20</v>
      </c>
      <c r="P140" t="s">
        <v>241</v>
      </c>
      <c r="Q140">
        <v>54227695</v>
      </c>
      <c r="R140" s="11">
        <v>46092.698611111111</v>
      </c>
    </row>
    <row r="141" spans="1:18" x14ac:dyDescent="0.25">
      <c r="A141">
        <v>103</v>
      </c>
      <c r="B141" s="5">
        <v>46092</v>
      </c>
      <c r="C141" t="s">
        <v>51</v>
      </c>
      <c r="D141" t="s">
        <v>154</v>
      </c>
      <c r="E141" t="s">
        <v>53</v>
      </c>
      <c r="F141">
        <v>3</v>
      </c>
      <c r="G141">
        <v>5</v>
      </c>
      <c r="H141">
        <v>0</v>
      </c>
      <c r="I141">
        <v>0</v>
      </c>
      <c r="J141">
        <v>0</v>
      </c>
      <c r="K141" t="s">
        <v>245</v>
      </c>
      <c r="L141" t="s">
        <v>241</v>
      </c>
      <c r="M141" t="s">
        <v>241</v>
      </c>
      <c r="N141" t="s">
        <v>213</v>
      </c>
      <c r="O141" t="s">
        <v>241</v>
      </c>
      <c r="P141" t="s">
        <v>241</v>
      </c>
      <c r="Q141">
        <v>509288074</v>
      </c>
      <c r="R141" s="11">
        <v>46092.776388888888</v>
      </c>
    </row>
    <row r="142" spans="1:18" x14ac:dyDescent="0.25">
      <c r="A142">
        <v>104</v>
      </c>
      <c r="B142" s="5">
        <v>46092</v>
      </c>
      <c r="C142" t="s">
        <v>51</v>
      </c>
      <c r="D142" t="s">
        <v>154</v>
      </c>
      <c r="E142" t="s">
        <v>53</v>
      </c>
      <c r="F142">
        <v>3</v>
      </c>
      <c r="G142">
        <v>0</v>
      </c>
      <c r="H142">
        <v>0</v>
      </c>
      <c r="I142">
        <v>0</v>
      </c>
      <c r="J142">
        <v>0</v>
      </c>
      <c r="K142" t="s">
        <v>241</v>
      </c>
      <c r="L142" t="s">
        <v>241</v>
      </c>
      <c r="M142" t="s">
        <v>241</v>
      </c>
      <c r="N142" t="s">
        <v>241</v>
      </c>
      <c r="O142" t="s">
        <v>241</v>
      </c>
      <c r="P142" t="s">
        <v>241</v>
      </c>
      <c r="Q142">
        <v>509288074</v>
      </c>
      <c r="R142" s="11">
        <v>46092.776388888888</v>
      </c>
    </row>
    <row r="143" spans="1:18" x14ac:dyDescent="0.25">
      <c r="A143">
        <v>105</v>
      </c>
      <c r="B143" s="5">
        <v>46092</v>
      </c>
      <c r="C143" t="s">
        <v>51</v>
      </c>
      <c r="D143" t="s">
        <v>156</v>
      </c>
      <c r="E143" t="s">
        <v>53</v>
      </c>
      <c r="F143">
        <v>2</v>
      </c>
      <c r="G143">
        <v>10</v>
      </c>
      <c r="H143">
        <v>0</v>
      </c>
      <c r="I143">
        <v>0</v>
      </c>
      <c r="J143">
        <v>0</v>
      </c>
      <c r="K143" t="s">
        <v>215</v>
      </c>
      <c r="L143" t="s">
        <v>241</v>
      </c>
      <c r="M143" t="s">
        <v>241</v>
      </c>
      <c r="N143" t="s">
        <v>216</v>
      </c>
      <c r="O143" t="s">
        <v>241</v>
      </c>
      <c r="P143" t="s">
        <v>241</v>
      </c>
      <c r="Q143">
        <v>553285621</v>
      </c>
      <c r="R143" s="11">
        <v>46092.84097222222</v>
      </c>
    </row>
    <row r="144" spans="1:18" x14ac:dyDescent="0.25">
      <c r="A144">
        <v>106</v>
      </c>
      <c r="B144" s="5">
        <v>46093</v>
      </c>
      <c r="C144" t="s">
        <v>51</v>
      </c>
      <c r="D144" t="s">
        <v>160</v>
      </c>
      <c r="E144" t="s">
        <v>53</v>
      </c>
      <c r="F144">
        <v>3</v>
      </c>
      <c r="G144">
        <v>25</v>
      </c>
      <c r="H144">
        <v>0</v>
      </c>
      <c r="I144">
        <v>0</v>
      </c>
      <c r="J144">
        <v>0</v>
      </c>
      <c r="K144" t="s">
        <v>178</v>
      </c>
      <c r="L144" t="s">
        <v>241</v>
      </c>
      <c r="M144" t="s">
        <v>241</v>
      </c>
      <c r="N144" t="s">
        <v>217</v>
      </c>
      <c r="O144" t="s">
        <v>241</v>
      </c>
      <c r="P144" t="s">
        <v>241</v>
      </c>
      <c r="Q144">
        <v>569007478</v>
      </c>
      <c r="R144" s="11">
        <v>46092.984027777777</v>
      </c>
    </row>
    <row r="145" spans="1:18" x14ac:dyDescent="0.25">
      <c r="A145">
        <v>107</v>
      </c>
      <c r="B145" s="5">
        <v>46092</v>
      </c>
      <c r="C145" t="s">
        <v>51</v>
      </c>
      <c r="D145" t="s">
        <v>156</v>
      </c>
      <c r="E145" t="s">
        <v>53</v>
      </c>
      <c r="F145">
        <v>2</v>
      </c>
      <c r="G145">
        <v>10</v>
      </c>
      <c r="H145">
        <v>0</v>
      </c>
      <c r="I145">
        <v>0</v>
      </c>
      <c r="J145">
        <v>0</v>
      </c>
      <c r="K145" t="s">
        <v>177</v>
      </c>
      <c r="L145" t="s">
        <v>241</v>
      </c>
      <c r="M145" t="s">
        <v>241</v>
      </c>
      <c r="N145" t="s">
        <v>185</v>
      </c>
      <c r="O145" t="s">
        <v>241</v>
      </c>
      <c r="P145" t="s">
        <v>241</v>
      </c>
      <c r="Q145">
        <v>508656641</v>
      </c>
      <c r="R145" s="11">
        <v>46093.053472222222</v>
      </c>
    </row>
    <row r="146" spans="1:18" x14ac:dyDescent="0.25">
      <c r="A146">
        <v>108</v>
      </c>
      <c r="B146" s="5">
        <v>46093</v>
      </c>
      <c r="C146" t="s">
        <v>75</v>
      </c>
      <c r="D146" t="s">
        <v>158</v>
      </c>
      <c r="E146" t="s">
        <v>76</v>
      </c>
      <c r="F146">
        <v>2</v>
      </c>
      <c r="G146">
        <v>10</v>
      </c>
      <c r="H146">
        <v>0</v>
      </c>
      <c r="I146">
        <v>0</v>
      </c>
      <c r="J146">
        <v>0</v>
      </c>
      <c r="K146" t="s">
        <v>169</v>
      </c>
      <c r="L146" t="s">
        <v>241</v>
      </c>
      <c r="M146" t="s">
        <v>241</v>
      </c>
      <c r="N146" t="s">
        <v>225</v>
      </c>
      <c r="O146" t="s">
        <v>23</v>
      </c>
      <c r="P146" t="s">
        <v>241</v>
      </c>
      <c r="Q146" s="13" t="s">
        <v>941</v>
      </c>
      <c r="R146" s="11">
        <v>46093.445833333331</v>
      </c>
    </row>
    <row r="147" spans="1:18" x14ac:dyDescent="0.25">
      <c r="A147">
        <v>109</v>
      </c>
      <c r="B147" s="5">
        <v>46093</v>
      </c>
      <c r="C147" t="s">
        <v>51</v>
      </c>
      <c r="D147" t="s">
        <v>113</v>
      </c>
      <c r="E147" t="s">
        <v>53</v>
      </c>
      <c r="F147">
        <v>2</v>
      </c>
      <c r="G147">
        <v>0</v>
      </c>
      <c r="H147">
        <v>0</v>
      </c>
      <c r="I147">
        <v>40</v>
      </c>
      <c r="J147">
        <v>0</v>
      </c>
      <c r="K147" t="s">
        <v>15</v>
      </c>
      <c r="L147" t="s">
        <v>241</v>
      </c>
      <c r="M147" t="s">
        <v>241</v>
      </c>
      <c r="N147" t="s">
        <v>231</v>
      </c>
      <c r="O147" t="s">
        <v>241</v>
      </c>
      <c r="P147" t="s">
        <v>241</v>
      </c>
      <c r="Q147" s="13" t="s">
        <v>942</v>
      </c>
      <c r="R147" s="11">
        <v>46093.531944444447</v>
      </c>
    </row>
    <row r="148" spans="1:18" x14ac:dyDescent="0.25">
      <c r="A148">
        <v>110</v>
      </c>
      <c r="B148" s="5">
        <v>46093</v>
      </c>
      <c r="C148" t="s">
        <v>51</v>
      </c>
      <c r="D148" t="s">
        <v>156</v>
      </c>
      <c r="E148" t="s">
        <v>53</v>
      </c>
      <c r="F148">
        <v>2</v>
      </c>
      <c r="G148">
        <v>15</v>
      </c>
      <c r="H148">
        <v>0</v>
      </c>
      <c r="I148">
        <v>0</v>
      </c>
      <c r="J148">
        <v>0</v>
      </c>
      <c r="K148" t="s">
        <v>177</v>
      </c>
      <c r="L148" t="s">
        <v>241</v>
      </c>
      <c r="M148" t="s">
        <v>241</v>
      </c>
      <c r="N148" t="s">
        <v>185</v>
      </c>
      <c r="O148" t="s">
        <v>241</v>
      </c>
      <c r="P148" t="s">
        <v>241</v>
      </c>
      <c r="Q148">
        <v>508656641</v>
      </c>
      <c r="R148" s="11">
        <v>46093.834027777775</v>
      </c>
    </row>
    <row r="149" spans="1:18" x14ac:dyDescent="0.25">
      <c r="A149">
        <v>111</v>
      </c>
      <c r="B149" s="5">
        <v>46093</v>
      </c>
      <c r="C149" t="s">
        <v>51</v>
      </c>
      <c r="D149" t="s">
        <v>156</v>
      </c>
      <c r="E149" t="s">
        <v>53</v>
      </c>
      <c r="F149">
        <v>2</v>
      </c>
      <c r="G149">
        <v>15</v>
      </c>
      <c r="H149">
        <v>0</v>
      </c>
      <c r="I149">
        <v>0</v>
      </c>
      <c r="J149">
        <v>0</v>
      </c>
      <c r="K149" t="s">
        <v>215</v>
      </c>
      <c r="L149" t="s">
        <v>241</v>
      </c>
      <c r="M149" t="s">
        <v>241</v>
      </c>
      <c r="N149" t="s">
        <v>216</v>
      </c>
      <c r="O149" t="s">
        <v>241</v>
      </c>
      <c r="P149" t="s">
        <v>241</v>
      </c>
      <c r="Q149">
        <v>553285621</v>
      </c>
      <c r="R149" s="11">
        <v>46093.836805555555</v>
      </c>
    </row>
    <row r="150" spans="1:18" x14ac:dyDescent="0.25">
      <c r="A150">
        <v>112</v>
      </c>
      <c r="B150" s="5">
        <v>46094</v>
      </c>
      <c r="C150" t="s">
        <v>51</v>
      </c>
      <c r="D150" t="s">
        <v>82</v>
      </c>
      <c r="E150" t="s">
        <v>53</v>
      </c>
      <c r="F150">
        <v>3</v>
      </c>
      <c r="G150">
        <v>18</v>
      </c>
      <c r="H150">
        <v>0</v>
      </c>
      <c r="I150">
        <v>0</v>
      </c>
      <c r="J150">
        <v>0</v>
      </c>
      <c r="K150" t="s">
        <v>178</v>
      </c>
      <c r="L150" t="s">
        <v>241</v>
      </c>
      <c r="M150" t="s">
        <v>241</v>
      </c>
      <c r="N150" t="s">
        <v>217</v>
      </c>
      <c r="O150" t="s">
        <v>241</v>
      </c>
      <c r="P150" t="s">
        <v>241</v>
      </c>
      <c r="Q150">
        <v>569007478</v>
      </c>
      <c r="R150" s="11">
        <v>46094.035416666666</v>
      </c>
    </row>
    <row r="151" spans="1:18" x14ac:dyDescent="0.25">
      <c r="A151">
        <v>113</v>
      </c>
      <c r="B151" s="5">
        <v>46093</v>
      </c>
      <c r="C151" t="s">
        <v>51</v>
      </c>
      <c r="D151" t="s">
        <v>66</v>
      </c>
      <c r="E151" t="s">
        <v>53</v>
      </c>
      <c r="F151">
        <v>1</v>
      </c>
      <c r="G151">
        <v>11</v>
      </c>
      <c r="H151">
        <v>0</v>
      </c>
      <c r="I151">
        <v>0</v>
      </c>
      <c r="J151">
        <v>0</v>
      </c>
      <c r="K151" t="s">
        <v>13</v>
      </c>
      <c r="L151" t="s">
        <v>241</v>
      </c>
      <c r="M151" t="s">
        <v>241</v>
      </c>
      <c r="N151" t="s">
        <v>230</v>
      </c>
      <c r="O151" t="s">
        <v>241</v>
      </c>
      <c r="P151" t="s">
        <v>241</v>
      </c>
      <c r="Q151">
        <v>543734692</v>
      </c>
      <c r="R151" s="11">
        <v>46094.192361111112</v>
      </c>
    </row>
    <row r="152" spans="1:18" x14ac:dyDescent="0.25">
      <c r="A152">
        <v>114</v>
      </c>
      <c r="B152" s="5">
        <v>46093</v>
      </c>
      <c r="C152" t="s">
        <v>51</v>
      </c>
      <c r="D152" t="s">
        <v>154</v>
      </c>
      <c r="E152" t="s">
        <v>53</v>
      </c>
      <c r="F152">
        <v>3</v>
      </c>
      <c r="G152">
        <v>6</v>
      </c>
      <c r="H152">
        <v>0</v>
      </c>
      <c r="I152">
        <v>0</v>
      </c>
      <c r="J152">
        <v>0</v>
      </c>
      <c r="K152" t="s">
        <v>245</v>
      </c>
      <c r="L152" t="s">
        <v>241</v>
      </c>
      <c r="M152" t="s">
        <v>241</v>
      </c>
      <c r="N152" t="s">
        <v>213</v>
      </c>
      <c r="O152" t="s">
        <v>241</v>
      </c>
      <c r="P152" t="s">
        <v>241</v>
      </c>
      <c r="Q152">
        <v>509288074</v>
      </c>
      <c r="R152" s="11">
        <v>46094.35</v>
      </c>
    </row>
    <row r="153" spans="1:18" x14ac:dyDescent="0.25">
      <c r="A153">
        <v>115</v>
      </c>
      <c r="B153" s="5">
        <v>46092</v>
      </c>
      <c r="C153" t="s">
        <v>51</v>
      </c>
      <c r="D153" t="s">
        <v>82</v>
      </c>
      <c r="E153" t="s">
        <v>53</v>
      </c>
      <c r="F153">
        <v>3</v>
      </c>
      <c r="G153">
        <v>8</v>
      </c>
      <c r="H153">
        <v>0</v>
      </c>
      <c r="I153">
        <v>2</v>
      </c>
      <c r="J153">
        <v>0</v>
      </c>
      <c r="K153" t="s">
        <v>241</v>
      </c>
      <c r="L153" t="s">
        <v>241</v>
      </c>
      <c r="M153" t="s">
        <v>241</v>
      </c>
      <c r="N153" t="s">
        <v>220</v>
      </c>
      <c r="O153" t="s">
        <v>241</v>
      </c>
      <c r="P153" t="s">
        <v>241</v>
      </c>
      <c r="Q153">
        <v>504227514</v>
      </c>
      <c r="R153" s="11">
        <v>46094.439583333333</v>
      </c>
    </row>
    <row r="154" spans="1:18" x14ac:dyDescent="0.25">
      <c r="A154">
        <v>116</v>
      </c>
      <c r="B154" s="5">
        <v>46093</v>
      </c>
      <c r="C154" t="s">
        <v>51</v>
      </c>
      <c r="D154" t="s">
        <v>82</v>
      </c>
      <c r="E154" t="s">
        <v>53</v>
      </c>
      <c r="F154">
        <v>3</v>
      </c>
      <c r="G154">
        <v>8</v>
      </c>
      <c r="H154">
        <v>0</v>
      </c>
      <c r="I154">
        <v>0</v>
      </c>
      <c r="J154">
        <v>0</v>
      </c>
      <c r="K154" t="s">
        <v>11</v>
      </c>
      <c r="L154" t="s">
        <v>241</v>
      </c>
      <c r="M154" t="s">
        <v>241</v>
      </c>
      <c r="N154" t="s">
        <v>220</v>
      </c>
      <c r="O154" t="s">
        <v>241</v>
      </c>
      <c r="P154" t="s">
        <v>241</v>
      </c>
      <c r="Q154">
        <v>504227514</v>
      </c>
      <c r="R154" s="11">
        <v>46094.44027777778</v>
      </c>
    </row>
    <row r="155" spans="1:18" x14ac:dyDescent="0.25">
      <c r="A155">
        <v>117</v>
      </c>
      <c r="B155" s="5">
        <v>46094</v>
      </c>
      <c r="C155" t="s">
        <v>51</v>
      </c>
      <c r="D155" t="s">
        <v>82</v>
      </c>
      <c r="E155" t="s">
        <v>53</v>
      </c>
      <c r="F155">
        <v>3</v>
      </c>
      <c r="G155">
        <v>0</v>
      </c>
      <c r="H155">
        <v>0</v>
      </c>
      <c r="I155">
        <v>0</v>
      </c>
      <c r="J155">
        <v>0</v>
      </c>
      <c r="K155" t="s">
        <v>241</v>
      </c>
      <c r="L155" t="s">
        <v>241</v>
      </c>
      <c r="M155" t="s">
        <v>241</v>
      </c>
      <c r="N155" t="s">
        <v>241</v>
      </c>
      <c r="O155" t="s">
        <v>241</v>
      </c>
      <c r="P155" t="s">
        <v>241</v>
      </c>
      <c r="Q155">
        <v>504227514</v>
      </c>
      <c r="R155" s="11">
        <v>46094.44027777778</v>
      </c>
    </row>
    <row r="156" spans="1:18" x14ac:dyDescent="0.25">
      <c r="A156">
        <v>118</v>
      </c>
      <c r="B156" s="5">
        <v>46094</v>
      </c>
      <c r="C156" t="s">
        <v>51</v>
      </c>
      <c r="D156" t="s">
        <v>82</v>
      </c>
      <c r="E156" t="s">
        <v>53</v>
      </c>
      <c r="F156">
        <v>3</v>
      </c>
      <c r="G156">
        <v>0</v>
      </c>
      <c r="H156">
        <v>0</v>
      </c>
      <c r="I156">
        <v>0</v>
      </c>
      <c r="J156">
        <v>0</v>
      </c>
      <c r="K156" t="s">
        <v>241</v>
      </c>
      <c r="L156" t="s">
        <v>241</v>
      </c>
      <c r="M156" t="s">
        <v>241</v>
      </c>
      <c r="N156" t="s">
        <v>241</v>
      </c>
      <c r="O156" t="s">
        <v>241</v>
      </c>
      <c r="P156" t="s">
        <v>241</v>
      </c>
      <c r="Q156">
        <v>504227514</v>
      </c>
      <c r="R156" s="11">
        <v>46094.44027777778</v>
      </c>
    </row>
    <row r="157" spans="1:18" x14ac:dyDescent="0.25">
      <c r="A157">
        <v>119</v>
      </c>
      <c r="B157" s="5">
        <v>46094</v>
      </c>
      <c r="C157" t="s">
        <v>51</v>
      </c>
      <c r="D157" t="s">
        <v>82</v>
      </c>
      <c r="E157" t="s">
        <v>53</v>
      </c>
      <c r="F157">
        <v>3</v>
      </c>
      <c r="G157">
        <v>0</v>
      </c>
      <c r="H157">
        <v>0</v>
      </c>
      <c r="I157">
        <v>0</v>
      </c>
      <c r="J157">
        <v>0</v>
      </c>
      <c r="K157" t="s">
        <v>241</v>
      </c>
      <c r="L157" t="s">
        <v>241</v>
      </c>
      <c r="M157" t="s">
        <v>241</v>
      </c>
      <c r="N157" t="s">
        <v>241</v>
      </c>
      <c r="O157" t="s">
        <v>241</v>
      </c>
      <c r="P157" t="s">
        <v>241</v>
      </c>
      <c r="Q157">
        <v>504227514</v>
      </c>
      <c r="R157" s="11">
        <v>46094.44027777778</v>
      </c>
    </row>
    <row r="158" spans="1:18" x14ac:dyDescent="0.25">
      <c r="A158">
        <v>120</v>
      </c>
      <c r="B158" s="5">
        <v>46094</v>
      </c>
      <c r="C158" t="s">
        <v>75</v>
      </c>
      <c r="D158" t="s">
        <v>158</v>
      </c>
      <c r="E158" t="s">
        <v>76</v>
      </c>
      <c r="F158">
        <v>2</v>
      </c>
      <c r="G158">
        <v>0</v>
      </c>
      <c r="H158">
        <v>5</v>
      </c>
      <c r="I158">
        <v>0</v>
      </c>
      <c r="J158">
        <v>0</v>
      </c>
      <c r="K158" t="s">
        <v>169</v>
      </c>
      <c r="L158" t="s">
        <v>241</v>
      </c>
      <c r="M158" t="s">
        <v>241</v>
      </c>
      <c r="N158" t="s">
        <v>225</v>
      </c>
      <c r="O158" t="s">
        <v>241</v>
      </c>
      <c r="P158" t="s">
        <v>241</v>
      </c>
      <c r="Q158" s="13" t="s">
        <v>941</v>
      </c>
      <c r="R158" s="11">
        <v>46094.463888888888</v>
      </c>
    </row>
    <row r="159" spans="1:18" x14ac:dyDescent="0.25">
      <c r="A159">
        <v>121</v>
      </c>
      <c r="B159" s="5">
        <v>46094</v>
      </c>
      <c r="C159" t="s">
        <v>51</v>
      </c>
      <c r="D159" t="s">
        <v>66</v>
      </c>
      <c r="E159" t="s">
        <v>53</v>
      </c>
      <c r="F159">
        <v>1</v>
      </c>
      <c r="G159">
        <v>10</v>
      </c>
      <c r="H159">
        <v>0</v>
      </c>
      <c r="I159">
        <v>0</v>
      </c>
      <c r="J159">
        <v>0</v>
      </c>
      <c r="K159" t="s">
        <v>13</v>
      </c>
      <c r="L159" t="s">
        <v>241</v>
      </c>
      <c r="M159" t="s">
        <v>241</v>
      </c>
      <c r="N159" t="s">
        <v>230</v>
      </c>
      <c r="O159" t="s">
        <v>241</v>
      </c>
      <c r="P159" t="s">
        <v>241</v>
      </c>
      <c r="Q159">
        <v>543734692</v>
      </c>
      <c r="R159" s="11">
        <v>46094.51666666667</v>
      </c>
    </row>
    <row r="160" spans="1:18" x14ac:dyDescent="0.25">
      <c r="A160">
        <v>122</v>
      </c>
      <c r="B160" s="5">
        <v>46094</v>
      </c>
      <c r="C160" t="s">
        <v>75</v>
      </c>
      <c r="D160" t="s">
        <v>102</v>
      </c>
      <c r="E160" t="s">
        <v>76</v>
      </c>
      <c r="F160">
        <v>2</v>
      </c>
      <c r="G160">
        <v>19</v>
      </c>
      <c r="H160">
        <v>0</v>
      </c>
      <c r="I160">
        <v>0</v>
      </c>
      <c r="J160">
        <v>0</v>
      </c>
      <c r="K160" t="s">
        <v>14</v>
      </c>
      <c r="L160" t="s">
        <v>241</v>
      </c>
      <c r="M160" t="s">
        <v>241</v>
      </c>
      <c r="N160" t="s">
        <v>232</v>
      </c>
      <c r="O160" t="s">
        <v>241</v>
      </c>
      <c r="P160" t="s">
        <v>241</v>
      </c>
      <c r="Q160">
        <v>565265112</v>
      </c>
      <c r="R160" s="11">
        <v>46094.592361111114</v>
      </c>
    </row>
    <row r="161" spans="1:18" x14ac:dyDescent="0.25">
      <c r="A161">
        <v>123</v>
      </c>
      <c r="B161" s="5">
        <v>46094</v>
      </c>
      <c r="C161" t="s">
        <v>51</v>
      </c>
      <c r="D161" t="s">
        <v>137</v>
      </c>
      <c r="E161" t="s">
        <v>53</v>
      </c>
      <c r="F161">
        <v>1</v>
      </c>
      <c r="G161">
        <v>10</v>
      </c>
      <c r="H161">
        <v>0</v>
      </c>
      <c r="I161">
        <v>0</v>
      </c>
      <c r="J161">
        <v>0</v>
      </c>
      <c r="K161" t="s">
        <v>245</v>
      </c>
      <c r="L161" t="s">
        <v>241</v>
      </c>
      <c r="M161" t="s">
        <v>241</v>
      </c>
      <c r="N161" t="s">
        <v>213</v>
      </c>
      <c r="O161" t="s">
        <v>241</v>
      </c>
      <c r="P161" t="s">
        <v>241</v>
      </c>
      <c r="Q161">
        <v>509288074</v>
      </c>
      <c r="R161" s="11">
        <v>46094.684027777781</v>
      </c>
    </row>
    <row r="162" spans="1:18" x14ac:dyDescent="0.25">
      <c r="A162">
        <v>124</v>
      </c>
      <c r="B162" s="5">
        <v>46094</v>
      </c>
      <c r="C162" t="s">
        <v>51</v>
      </c>
      <c r="D162" t="s">
        <v>156</v>
      </c>
      <c r="E162" t="s">
        <v>53</v>
      </c>
      <c r="F162">
        <v>2</v>
      </c>
      <c r="G162">
        <v>8</v>
      </c>
      <c r="H162">
        <v>0</v>
      </c>
      <c r="I162">
        <v>0</v>
      </c>
      <c r="J162">
        <v>0</v>
      </c>
      <c r="K162" t="s">
        <v>177</v>
      </c>
      <c r="L162" t="s">
        <v>241</v>
      </c>
      <c r="M162" t="s">
        <v>241</v>
      </c>
      <c r="N162" t="s">
        <v>185</v>
      </c>
      <c r="O162" t="s">
        <v>241</v>
      </c>
      <c r="P162" t="s">
        <v>241</v>
      </c>
      <c r="Q162">
        <v>508656641</v>
      </c>
      <c r="R162" s="11">
        <v>46094.722222222219</v>
      </c>
    </row>
    <row r="163" spans="1:18" x14ac:dyDescent="0.25">
      <c r="A163">
        <v>125</v>
      </c>
      <c r="B163" s="5">
        <v>46094</v>
      </c>
      <c r="C163" t="s">
        <v>51</v>
      </c>
      <c r="D163" t="s">
        <v>156</v>
      </c>
      <c r="E163" t="s">
        <v>53</v>
      </c>
      <c r="F163">
        <v>2</v>
      </c>
      <c r="G163">
        <v>8</v>
      </c>
      <c r="H163">
        <v>0</v>
      </c>
      <c r="I163">
        <v>0</v>
      </c>
      <c r="J163">
        <v>0</v>
      </c>
      <c r="K163" t="s">
        <v>215</v>
      </c>
      <c r="L163" t="s">
        <v>241</v>
      </c>
      <c r="M163" t="s">
        <v>241</v>
      </c>
      <c r="N163" t="s">
        <v>216</v>
      </c>
      <c r="O163" t="s">
        <v>241</v>
      </c>
      <c r="P163" t="s">
        <v>241</v>
      </c>
      <c r="Q163">
        <v>553285621</v>
      </c>
      <c r="R163" s="11">
        <v>46094.85</v>
      </c>
    </row>
    <row r="164" spans="1:18" x14ac:dyDescent="0.25">
      <c r="A164">
        <v>126</v>
      </c>
      <c r="B164" s="5">
        <v>46094</v>
      </c>
      <c r="C164" t="s">
        <v>51</v>
      </c>
      <c r="D164" t="s">
        <v>82</v>
      </c>
      <c r="E164" t="s">
        <v>53</v>
      </c>
      <c r="F164">
        <v>3</v>
      </c>
      <c r="G164">
        <v>25</v>
      </c>
      <c r="H164">
        <v>0</v>
      </c>
      <c r="I164">
        <v>0</v>
      </c>
      <c r="J164">
        <v>0</v>
      </c>
      <c r="K164" t="s">
        <v>178</v>
      </c>
      <c r="L164" t="s">
        <v>241</v>
      </c>
      <c r="M164" t="s">
        <v>241</v>
      </c>
      <c r="N164" t="s">
        <v>217</v>
      </c>
      <c r="O164" t="s">
        <v>241</v>
      </c>
      <c r="P164" t="s">
        <v>241</v>
      </c>
      <c r="Q164">
        <v>569007478</v>
      </c>
      <c r="R164" s="11">
        <v>46094.98541666667</v>
      </c>
    </row>
    <row r="165" spans="1:18" x14ac:dyDescent="0.25">
      <c r="A165">
        <v>127</v>
      </c>
      <c r="B165" s="5">
        <v>46094</v>
      </c>
      <c r="C165" t="s">
        <v>75</v>
      </c>
      <c r="D165" t="s">
        <v>158</v>
      </c>
      <c r="E165" t="s">
        <v>76</v>
      </c>
      <c r="F165">
        <v>2</v>
      </c>
      <c r="G165">
        <v>9</v>
      </c>
      <c r="H165">
        <v>3</v>
      </c>
      <c r="I165">
        <v>0</v>
      </c>
      <c r="J165">
        <v>0</v>
      </c>
      <c r="K165" t="s">
        <v>180</v>
      </c>
      <c r="L165" t="s">
        <v>241</v>
      </c>
      <c r="M165" t="s">
        <v>241</v>
      </c>
      <c r="N165" t="s">
        <v>233</v>
      </c>
      <c r="O165" t="s">
        <v>241</v>
      </c>
      <c r="P165" t="s">
        <v>241</v>
      </c>
      <c r="Q165">
        <v>54227695</v>
      </c>
      <c r="R165" s="11">
        <v>46095.238194444442</v>
      </c>
    </row>
    <row r="166" spans="1:18" x14ac:dyDescent="0.25">
      <c r="A166">
        <v>128</v>
      </c>
      <c r="B166" s="5">
        <v>46094</v>
      </c>
      <c r="C166" t="s">
        <v>75</v>
      </c>
      <c r="D166" t="s">
        <v>158</v>
      </c>
      <c r="E166" t="s">
        <v>76</v>
      </c>
      <c r="F166">
        <v>2</v>
      </c>
      <c r="G166">
        <v>10</v>
      </c>
      <c r="H166">
        <v>3</v>
      </c>
      <c r="I166">
        <v>0</v>
      </c>
      <c r="J166">
        <v>1</v>
      </c>
      <c r="K166" t="s">
        <v>22</v>
      </c>
      <c r="L166" t="s">
        <v>241</v>
      </c>
      <c r="M166" t="s">
        <v>241</v>
      </c>
      <c r="N166" t="s">
        <v>23</v>
      </c>
      <c r="O166" t="s">
        <v>241</v>
      </c>
      <c r="P166" t="s">
        <v>241</v>
      </c>
      <c r="Q166" t="s">
        <v>940</v>
      </c>
      <c r="R166" s="11">
        <v>46095.240972222222</v>
      </c>
    </row>
    <row r="167" spans="1:18" x14ac:dyDescent="0.25">
      <c r="A167">
        <v>129</v>
      </c>
      <c r="B167" s="5">
        <v>46095</v>
      </c>
      <c r="C167" t="s">
        <v>75</v>
      </c>
      <c r="D167" t="s">
        <v>158</v>
      </c>
      <c r="E167" t="s">
        <v>76</v>
      </c>
      <c r="F167">
        <v>2</v>
      </c>
      <c r="G167">
        <v>0</v>
      </c>
      <c r="H167">
        <v>0</v>
      </c>
      <c r="I167">
        <v>0</v>
      </c>
      <c r="J167">
        <v>0</v>
      </c>
      <c r="K167" t="s">
        <v>241</v>
      </c>
      <c r="L167" t="s">
        <v>241</v>
      </c>
      <c r="M167" t="s">
        <v>241</v>
      </c>
      <c r="N167" t="s">
        <v>241</v>
      </c>
      <c r="O167" t="s">
        <v>241</v>
      </c>
      <c r="P167" t="s">
        <v>241</v>
      </c>
      <c r="Q167" t="s">
        <v>940</v>
      </c>
      <c r="R167" s="11">
        <v>46095.240972222222</v>
      </c>
    </row>
    <row r="168" spans="1:18" x14ac:dyDescent="0.25">
      <c r="A168">
        <v>130</v>
      </c>
      <c r="B168" s="5">
        <v>46095</v>
      </c>
      <c r="C168" t="s">
        <v>75</v>
      </c>
      <c r="D168" t="s">
        <v>158</v>
      </c>
      <c r="E168" t="s">
        <v>76</v>
      </c>
      <c r="F168">
        <v>2</v>
      </c>
      <c r="G168">
        <v>19</v>
      </c>
      <c r="H168">
        <v>3</v>
      </c>
      <c r="I168">
        <v>5</v>
      </c>
      <c r="J168">
        <v>1</v>
      </c>
      <c r="K168" t="s">
        <v>180</v>
      </c>
      <c r="L168" t="s">
        <v>241</v>
      </c>
      <c r="M168" t="s">
        <v>241</v>
      </c>
      <c r="N168" t="s">
        <v>233</v>
      </c>
      <c r="O168" t="s">
        <v>241</v>
      </c>
      <c r="P168" t="s">
        <v>241</v>
      </c>
      <c r="Q168">
        <v>54227695</v>
      </c>
      <c r="R168" s="11">
        <v>46095.242361111108</v>
      </c>
    </row>
    <row r="169" spans="1:18" x14ac:dyDescent="0.25">
      <c r="A169">
        <v>131</v>
      </c>
      <c r="B169" s="5">
        <v>46095</v>
      </c>
      <c r="C169" t="s">
        <v>51</v>
      </c>
      <c r="D169" t="s">
        <v>154</v>
      </c>
      <c r="E169" t="s">
        <v>53</v>
      </c>
      <c r="F169">
        <v>3</v>
      </c>
      <c r="G169">
        <v>0</v>
      </c>
      <c r="H169">
        <v>22</v>
      </c>
      <c r="I169">
        <v>0</v>
      </c>
      <c r="J169">
        <v>0</v>
      </c>
      <c r="K169" t="s">
        <v>245</v>
      </c>
      <c r="L169" t="s">
        <v>241</v>
      </c>
      <c r="M169" t="s">
        <v>241</v>
      </c>
      <c r="N169" t="s">
        <v>213</v>
      </c>
      <c r="O169" t="s">
        <v>241</v>
      </c>
      <c r="P169" t="s">
        <v>241</v>
      </c>
      <c r="Q169">
        <v>509288074</v>
      </c>
      <c r="R169" s="11">
        <v>46095.73333333333</v>
      </c>
    </row>
    <row r="170" spans="1:18" x14ac:dyDescent="0.25">
      <c r="A170">
        <v>132</v>
      </c>
      <c r="B170" s="5">
        <v>46095</v>
      </c>
      <c r="C170" t="s">
        <v>51</v>
      </c>
      <c r="D170" t="s">
        <v>156</v>
      </c>
      <c r="E170" t="s">
        <v>53</v>
      </c>
      <c r="F170">
        <v>2</v>
      </c>
      <c r="G170">
        <v>9</v>
      </c>
      <c r="H170">
        <v>0</v>
      </c>
      <c r="I170">
        <v>0</v>
      </c>
      <c r="J170">
        <v>0</v>
      </c>
      <c r="K170" t="s">
        <v>215</v>
      </c>
      <c r="L170" t="s">
        <v>241</v>
      </c>
      <c r="M170" t="s">
        <v>241</v>
      </c>
      <c r="N170" t="s">
        <v>216</v>
      </c>
      <c r="O170" t="s">
        <v>241</v>
      </c>
      <c r="P170" t="s">
        <v>241</v>
      </c>
      <c r="Q170">
        <v>553285621</v>
      </c>
      <c r="R170" s="11">
        <v>46095.786111111112</v>
      </c>
    </row>
    <row r="171" spans="1:18" x14ac:dyDescent="0.25">
      <c r="A171">
        <v>133</v>
      </c>
      <c r="B171" s="5">
        <v>46095</v>
      </c>
      <c r="C171" t="s">
        <v>51</v>
      </c>
      <c r="D171" t="s">
        <v>66</v>
      </c>
      <c r="E171" t="s">
        <v>53</v>
      </c>
      <c r="F171">
        <v>1</v>
      </c>
      <c r="G171">
        <v>12</v>
      </c>
      <c r="H171">
        <v>0</v>
      </c>
      <c r="I171">
        <v>0</v>
      </c>
      <c r="J171">
        <v>0</v>
      </c>
      <c r="K171" t="s">
        <v>13</v>
      </c>
      <c r="L171" t="s">
        <v>241</v>
      </c>
      <c r="M171" t="s">
        <v>241</v>
      </c>
      <c r="N171" t="s">
        <v>230</v>
      </c>
      <c r="O171" t="s">
        <v>241</v>
      </c>
      <c r="P171" t="s">
        <v>241</v>
      </c>
      <c r="Q171">
        <v>543734692</v>
      </c>
      <c r="R171" s="11">
        <v>46095.791666666664</v>
      </c>
    </row>
    <row r="172" spans="1:18" x14ac:dyDescent="0.25">
      <c r="A172">
        <v>134</v>
      </c>
      <c r="B172" s="5">
        <v>46096</v>
      </c>
      <c r="C172" t="s">
        <v>51</v>
      </c>
      <c r="D172" t="s">
        <v>82</v>
      </c>
      <c r="E172" t="s">
        <v>53</v>
      </c>
      <c r="F172">
        <v>3</v>
      </c>
      <c r="G172">
        <v>26</v>
      </c>
      <c r="H172">
        <v>0</v>
      </c>
      <c r="I172">
        <v>0</v>
      </c>
      <c r="J172">
        <v>0</v>
      </c>
      <c r="K172" t="s">
        <v>178</v>
      </c>
      <c r="L172" t="s">
        <v>241</v>
      </c>
      <c r="M172" t="s">
        <v>241</v>
      </c>
      <c r="N172" t="s">
        <v>217</v>
      </c>
      <c r="O172" t="s">
        <v>241</v>
      </c>
      <c r="P172" t="s">
        <v>241</v>
      </c>
      <c r="Q172">
        <v>569007478</v>
      </c>
      <c r="R172" s="11">
        <v>46096</v>
      </c>
    </row>
    <row r="173" spans="1:18" x14ac:dyDescent="0.25">
      <c r="A173">
        <v>135</v>
      </c>
      <c r="B173" s="5">
        <v>46096</v>
      </c>
      <c r="C173" t="s">
        <v>51</v>
      </c>
      <c r="D173" t="s">
        <v>154</v>
      </c>
      <c r="E173" t="s">
        <v>53</v>
      </c>
      <c r="F173">
        <v>3</v>
      </c>
      <c r="G173">
        <v>10</v>
      </c>
      <c r="H173">
        <v>0</v>
      </c>
      <c r="I173">
        <v>0</v>
      </c>
      <c r="J173">
        <v>0</v>
      </c>
      <c r="K173" t="s">
        <v>245</v>
      </c>
      <c r="L173" t="s">
        <v>241</v>
      </c>
      <c r="M173" t="s">
        <v>241</v>
      </c>
      <c r="N173" t="s">
        <v>213</v>
      </c>
      <c r="O173" t="s">
        <v>241</v>
      </c>
      <c r="P173" t="s">
        <v>241</v>
      </c>
      <c r="Q173">
        <v>409288974</v>
      </c>
      <c r="R173" s="11">
        <v>46096.506944444445</v>
      </c>
    </row>
    <row r="174" spans="1:18" x14ac:dyDescent="0.25">
      <c r="A174">
        <v>136</v>
      </c>
      <c r="B174" s="5">
        <v>46096</v>
      </c>
      <c r="C174" t="s">
        <v>75</v>
      </c>
      <c r="D174" t="s">
        <v>158</v>
      </c>
      <c r="E174" t="s">
        <v>76</v>
      </c>
      <c r="F174">
        <v>2</v>
      </c>
      <c r="G174">
        <v>2</v>
      </c>
      <c r="H174">
        <v>4</v>
      </c>
      <c r="I174">
        <v>0</v>
      </c>
      <c r="J174">
        <v>2</v>
      </c>
      <c r="K174" t="s">
        <v>169</v>
      </c>
      <c r="L174" t="s">
        <v>241</v>
      </c>
      <c r="M174" t="s">
        <v>241</v>
      </c>
      <c r="N174" t="s">
        <v>225</v>
      </c>
      <c r="O174" t="s">
        <v>241</v>
      </c>
      <c r="P174" t="s">
        <v>241</v>
      </c>
      <c r="Q174" s="13" t="s">
        <v>941</v>
      </c>
      <c r="R174" s="11">
        <v>46096.51666666667</v>
      </c>
    </row>
    <row r="175" spans="1:18" x14ac:dyDescent="0.25">
      <c r="A175">
        <v>137</v>
      </c>
      <c r="B175" s="5">
        <v>46095</v>
      </c>
      <c r="C175" t="s">
        <v>51</v>
      </c>
      <c r="D175" t="s">
        <v>82</v>
      </c>
      <c r="E175" t="s">
        <v>53</v>
      </c>
      <c r="F175">
        <v>3</v>
      </c>
      <c r="G175">
        <v>18</v>
      </c>
      <c r="H175">
        <v>0</v>
      </c>
      <c r="I175">
        <v>0</v>
      </c>
      <c r="J175">
        <v>0</v>
      </c>
      <c r="K175" t="s">
        <v>241</v>
      </c>
      <c r="L175" t="s">
        <v>241</v>
      </c>
      <c r="M175" t="s">
        <v>241</v>
      </c>
      <c r="N175" t="s">
        <v>220</v>
      </c>
      <c r="O175" t="s">
        <v>241</v>
      </c>
      <c r="P175" t="s">
        <v>241</v>
      </c>
      <c r="Q175">
        <v>504227514</v>
      </c>
      <c r="R175" s="11">
        <v>46096.526388888888</v>
      </c>
    </row>
    <row r="176" spans="1:18" x14ac:dyDescent="0.25">
      <c r="A176">
        <v>138</v>
      </c>
      <c r="B176" s="5">
        <v>46096</v>
      </c>
      <c r="C176" t="s">
        <v>51</v>
      </c>
      <c r="D176" t="s">
        <v>156</v>
      </c>
      <c r="E176" t="s">
        <v>53</v>
      </c>
      <c r="F176">
        <v>2</v>
      </c>
      <c r="G176">
        <v>8</v>
      </c>
      <c r="H176">
        <v>0</v>
      </c>
      <c r="I176">
        <v>0</v>
      </c>
      <c r="J176">
        <v>0</v>
      </c>
      <c r="K176" t="s">
        <v>177</v>
      </c>
      <c r="L176" t="s">
        <v>241</v>
      </c>
      <c r="M176" t="s">
        <v>241</v>
      </c>
      <c r="N176" t="s">
        <v>185</v>
      </c>
      <c r="O176" t="s">
        <v>241</v>
      </c>
      <c r="P176" t="s">
        <v>241</v>
      </c>
      <c r="Q176">
        <v>508656641</v>
      </c>
      <c r="R176" s="11">
        <v>46096.729166666664</v>
      </c>
    </row>
    <row r="177" spans="1:18" x14ac:dyDescent="0.25">
      <c r="A177">
        <v>139</v>
      </c>
      <c r="B177" s="5">
        <v>46097</v>
      </c>
      <c r="C177" t="s">
        <v>51</v>
      </c>
      <c r="D177" t="s">
        <v>71</v>
      </c>
      <c r="E177" t="s">
        <v>53</v>
      </c>
      <c r="F177">
        <v>2</v>
      </c>
      <c r="G177">
        <v>0</v>
      </c>
      <c r="H177">
        <v>9</v>
      </c>
      <c r="I177">
        <v>0</v>
      </c>
      <c r="J177">
        <v>1</v>
      </c>
      <c r="K177" t="s">
        <v>14</v>
      </c>
      <c r="L177" t="s">
        <v>241</v>
      </c>
      <c r="M177" t="s">
        <v>241</v>
      </c>
      <c r="N177" t="s">
        <v>232</v>
      </c>
      <c r="O177" t="s">
        <v>241</v>
      </c>
      <c r="P177" t="s">
        <v>241</v>
      </c>
      <c r="Q177">
        <v>565265112</v>
      </c>
      <c r="R177" s="11">
        <v>46097.663194444445</v>
      </c>
    </row>
    <row r="178" spans="1:18" x14ac:dyDescent="0.25">
      <c r="A178">
        <v>140</v>
      </c>
      <c r="B178" s="5">
        <v>46097</v>
      </c>
      <c r="C178" t="s">
        <v>51</v>
      </c>
      <c r="D178" t="s">
        <v>156</v>
      </c>
      <c r="E178" t="s">
        <v>53</v>
      </c>
      <c r="F178">
        <v>2</v>
      </c>
      <c r="G178">
        <v>0</v>
      </c>
      <c r="H178">
        <v>7</v>
      </c>
      <c r="I178">
        <v>0</v>
      </c>
      <c r="J178">
        <v>0</v>
      </c>
      <c r="K178" t="s">
        <v>177</v>
      </c>
      <c r="L178" t="s">
        <v>241</v>
      </c>
      <c r="M178" t="s">
        <v>241</v>
      </c>
      <c r="N178" t="s">
        <v>185</v>
      </c>
      <c r="O178" t="s">
        <v>241</v>
      </c>
      <c r="P178" t="s">
        <v>241</v>
      </c>
      <c r="Q178">
        <v>508656641</v>
      </c>
      <c r="R178" s="11">
        <v>46097.663194444445</v>
      </c>
    </row>
    <row r="179" spans="1:18" x14ac:dyDescent="0.25">
      <c r="A179">
        <v>141</v>
      </c>
      <c r="B179" s="5">
        <v>46097</v>
      </c>
      <c r="C179" t="s">
        <v>51</v>
      </c>
      <c r="D179" t="s">
        <v>66</v>
      </c>
      <c r="E179" t="s">
        <v>53</v>
      </c>
      <c r="F179">
        <v>1</v>
      </c>
      <c r="G179">
        <v>0</v>
      </c>
      <c r="H179">
        <v>6</v>
      </c>
      <c r="I179">
        <v>0</v>
      </c>
      <c r="J179">
        <v>2</v>
      </c>
      <c r="K179" t="s">
        <v>13</v>
      </c>
      <c r="L179" t="s">
        <v>241</v>
      </c>
      <c r="M179" t="s">
        <v>241</v>
      </c>
      <c r="N179" t="s">
        <v>230</v>
      </c>
      <c r="O179" t="s">
        <v>241</v>
      </c>
      <c r="P179" t="s">
        <v>241</v>
      </c>
      <c r="Q179">
        <v>543734692</v>
      </c>
      <c r="R179" s="11">
        <v>46097.728472222225</v>
      </c>
    </row>
    <row r="180" spans="1:18" x14ac:dyDescent="0.25">
      <c r="A180">
        <v>142</v>
      </c>
      <c r="B180" s="5">
        <v>46097</v>
      </c>
      <c r="C180" t="s">
        <v>75</v>
      </c>
      <c r="D180" t="s">
        <v>158</v>
      </c>
      <c r="E180" t="s">
        <v>76</v>
      </c>
      <c r="F180">
        <v>2</v>
      </c>
      <c r="G180">
        <v>2</v>
      </c>
      <c r="H180">
        <v>2</v>
      </c>
      <c r="I180">
        <v>0</v>
      </c>
      <c r="J180">
        <v>0</v>
      </c>
      <c r="K180" t="s">
        <v>169</v>
      </c>
      <c r="L180" t="s">
        <v>241</v>
      </c>
      <c r="M180" t="s">
        <v>241</v>
      </c>
      <c r="N180" t="s">
        <v>225</v>
      </c>
      <c r="O180" t="s">
        <v>241</v>
      </c>
      <c r="P180" t="s">
        <v>241</v>
      </c>
      <c r="Q180" s="13" t="s">
        <v>941</v>
      </c>
      <c r="R180" s="11">
        <v>46097.765277777777</v>
      </c>
    </row>
    <row r="181" spans="1:18" x14ac:dyDescent="0.25">
      <c r="A181">
        <v>143</v>
      </c>
      <c r="B181" s="5">
        <v>46097</v>
      </c>
      <c r="C181" t="s">
        <v>51</v>
      </c>
      <c r="D181" t="s">
        <v>156</v>
      </c>
      <c r="E181" t="s">
        <v>53</v>
      </c>
      <c r="F181">
        <v>2</v>
      </c>
      <c r="G181">
        <v>0</v>
      </c>
      <c r="H181">
        <v>7</v>
      </c>
      <c r="I181">
        <v>0</v>
      </c>
      <c r="J181">
        <v>0</v>
      </c>
      <c r="K181" t="s">
        <v>241</v>
      </c>
      <c r="L181" t="s">
        <v>241</v>
      </c>
      <c r="M181" t="s">
        <v>241</v>
      </c>
      <c r="N181" t="s">
        <v>216</v>
      </c>
      <c r="O181" t="s">
        <v>241</v>
      </c>
      <c r="P181" t="s">
        <v>241</v>
      </c>
      <c r="Q181">
        <v>553285621</v>
      </c>
      <c r="R181" s="11">
        <v>46097.814583333333</v>
      </c>
    </row>
    <row r="182" spans="1:18" x14ac:dyDescent="0.25">
      <c r="A182">
        <v>144</v>
      </c>
      <c r="B182" s="5">
        <v>46098</v>
      </c>
      <c r="C182" t="s">
        <v>51</v>
      </c>
      <c r="D182" t="s">
        <v>82</v>
      </c>
      <c r="E182" t="s">
        <v>53</v>
      </c>
      <c r="F182">
        <v>3</v>
      </c>
      <c r="G182">
        <v>24</v>
      </c>
      <c r="H182">
        <v>0</v>
      </c>
      <c r="I182">
        <v>0</v>
      </c>
      <c r="J182">
        <v>0</v>
      </c>
      <c r="K182" t="s">
        <v>178</v>
      </c>
      <c r="L182" t="s">
        <v>241</v>
      </c>
      <c r="M182" t="s">
        <v>241</v>
      </c>
      <c r="N182" t="s">
        <v>217</v>
      </c>
      <c r="O182" t="s">
        <v>241</v>
      </c>
      <c r="P182" t="s">
        <v>241</v>
      </c>
      <c r="Q182">
        <v>569007478</v>
      </c>
      <c r="R182" s="11">
        <v>46098.085416666669</v>
      </c>
    </row>
    <row r="183" spans="1:18" x14ac:dyDescent="0.25">
      <c r="A183">
        <v>145</v>
      </c>
      <c r="B183" s="5">
        <v>46098</v>
      </c>
      <c r="C183" t="s">
        <v>75</v>
      </c>
      <c r="D183" t="s">
        <v>158</v>
      </c>
      <c r="E183" t="s">
        <v>76</v>
      </c>
      <c r="F183">
        <v>2</v>
      </c>
      <c r="G183">
        <v>4</v>
      </c>
      <c r="H183">
        <v>0</v>
      </c>
      <c r="I183">
        <v>0</v>
      </c>
      <c r="J183">
        <v>0</v>
      </c>
      <c r="K183" t="s">
        <v>169</v>
      </c>
      <c r="L183" t="s">
        <v>241</v>
      </c>
      <c r="M183" t="s">
        <v>241</v>
      </c>
      <c r="N183" t="s">
        <v>225</v>
      </c>
      <c r="O183" t="s">
        <v>241</v>
      </c>
      <c r="P183" t="s">
        <v>241</v>
      </c>
      <c r="Q183" s="13" t="s">
        <v>941</v>
      </c>
      <c r="R183" s="11">
        <v>46098.472222222219</v>
      </c>
    </row>
    <row r="184" spans="1:18" x14ac:dyDescent="0.25">
      <c r="A184">
        <v>146</v>
      </c>
      <c r="B184" s="5">
        <v>46098</v>
      </c>
      <c r="C184" t="s">
        <v>51</v>
      </c>
      <c r="D184" t="s">
        <v>66</v>
      </c>
      <c r="E184" t="s">
        <v>53</v>
      </c>
      <c r="F184">
        <v>1</v>
      </c>
      <c r="G184">
        <v>0</v>
      </c>
      <c r="H184">
        <v>11</v>
      </c>
      <c r="I184">
        <v>0</v>
      </c>
      <c r="J184">
        <v>0</v>
      </c>
      <c r="K184" t="s">
        <v>13</v>
      </c>
      <c r="L184" t="s">
        <v>241</v>
      </c>
      <c r="M184" t="s">
        <v>241</v>
      </c>
      <c r="N184" t="s">
        <v>230</v>
      </c>
      <c r="O184" t="s">
        <v>241</v>
      </c>
      <c r="P184" t="s">
        <v>241</v>
      </c>
      <c r="Q184" t="s">
        <v>943</v>
      </c>
      <c r="R184" s="11">
        <v>46098.544444444444</v>
      </c>
    </row>
    <row r="185" spans="1:18" x14ac:dyDescent="0.25">
      <c r="A185">
        <v>147</v>
      </c>
      <c r="B185" s="5">
        <v>46098</v>
      </c>
      <c r="C185" t="s">
        <v>51</v>
      </c>
      <c r="D185" t="s">
        <v>156</v>
      </c>
      <c r="E185" t="s">
        <v>53</v>
      </c>
      <c r="F185">
        <v>2</v>
      </c>
      <c r="G185">
        <v>0</v>
      </c>
      <c r="H185">
        <v>2</v>
      </c>
      <c r="I185">
        <v>0</v>
      </c>
      <c r="J185">
        <v>1</v>
      </c>
      <c r="K185" t="s">
        <v>177</v>
      </c>
      <c r="L185" t="s">
        <v>241</v>
      </c>
      <c r="M185" t="s">
        <v>241</v>
      </c>
      <c r="N185" t="s">
        <v>185</v>
      </c>
      <c r="O185" t="s">
        <v>241</v>
      </c>
      <c r="P185" t="s">
        <v>241</v>
      </c>
      <c r="Q185">
        <v>508656641</v>
      </c>
      <c r="R185" s="11">
        <v>46098.550694444442</v>
      </c>
    </row>
    <row r="186" spans="1:18" x14ac:dyDescent="0.25">
      <c r="A186">
        <v>148</v>
      </c>
      <c r="B186" s="5">
        <v>46098</v>
      </c>
      <c r="C186" t="s">
        <v>75</v>
      </c>
      <c r="D186" t="s">
        <v>102</v>
      </c>
      <c r="E186" t="s">
        <v>76</v>
      </c>
      <c r="F186">
        <v>2</v>
      </c>
      <c r="G186">
        <v>0</v>
      </c>
      <c r="H186">
        <v>4</v>
      </c>
      <c r="I186">
        <v>0</v>
      </c>
      <c r="J186">
        <v>2</v>
      </c>
      <c r="K186" t="s">
        <v>180</v>
      </c>
      <c r="L186" t="s">
        <v>241</v>
      </c>
      <c r="M186" t="s">
        <v>241</v>
      </c>
      <c r="N186" t="s">
        <v>233</v>
      </c>
      <c r="O186" t="s">
        <v>241</v>
      </c>
      <c r="P186" t="s">
        <v>241</v>
      </c>
      <c r="Q186">
        <v>54227695</v>
      </c>
      <c r="R186" s="11">
        <v>46098.640277777777</v>
      </c>
    </row>
    <row r="187" spans="1:18" x14ac:dyDescent="0.25">
      <c r="A187">
        <v>149</v>
      </c>
      <c r="B187" s="5">
        <v>46098</v>
      </c>
      <c r="C187" t="s">
        <v>75</v>
      </c>
      <c r="D187" t="s">
        <v>706</v>
      </c>
      <c r="E187" t="s">
        <v>114</v>
      </c>
      <c r="F187">
        <v>4</v>
      </c>
      <c r="G187">
        <v>0</v>
      </c>
      <c r="H187">
        <v>4</v>
      </c>
      <c r="I187">
        <v>0</v>
      </c>
      <c r="J187">
        <v>2</v>
      </c>
      <c r="K187" t="s">
        <v>180</v>
      </c>
      <c r="L187" t="s">
        <v>241</v>
      </c>
      <c r="M187" t="s">
        <v>241</v>
      </c>
      <c r="N187" t="s">
        <v>233</v>
      </c>
      <c r="O187" t="s">
        <v>241</v>
      </c>
      <c r="P187" t="s">
        <v>241</v>
      </c>
      <c r="Q187">
        <v>54227695</v>
      </c>
      <c r="R187" s="11">
        <v>46098.642361111109</v>
      </c>
    </row>
    <row r="188" spans="1:18" x14ac:dyDescent="0.25">
      <c r="A188">
        <v>150</v>
      </c>
      <c r="B188" s="5">
        <v>46098</v>
      </c>
      <c r="C188" t="s">
        <v>75</v>
      </c>
      <c r="D188" t="s">
        <v>119</v>
      </c>
      <c r="E188" t="s">
        <v>76</v>
      </c>
      <c r="F188">
        <v>4</v>
      </c>
      <c r="G188">
        <v>0</v>
      </c>
      <c r="H188">
        <v>0</v>
      </c>
      <c r="I188">
        <v>0</v>
      </c>
      <c r="J188">
        <v>0</v>
      </c>
      <c r="K188" t="s">
        <v>22</v>
      </c>
      <c r="L188" t="s">
        <v>241</v>
      </c>
      <c r="M188" t="s">
        <v>241</v>
      </c>
      <c r="N188" t="s">
        <v>23</v>
      </c>
      <c r="O188" t="s">
        <v>241</v>
      </c>
      <c r="P188" t="s">
        <v>241</v>
      </c>
      <c r="Q188" t="s">
        <v>944</v>
      </c>
      <c r="R188" s="11">
        <v>46098.697916666664</v>
      </c>
    </row>
    <row r="189" spans="1:18" x14ac:dyDescent="0.25">
      <c r="A189">
        <v>151</v>
      </c>
      <c r="B189" s="5">
        <v>46097</v>
      </c>
      <c r="C189" t="s">
        <v>75</v>
      </c>
      <c r="D189" t="s">
        <v>706</v>
      </c>
      <c r="E189" t="s">
        <v>114</v>
      </c>
      <c r="F189">
        <v>4</v>
      </c>
      <c r="G189">
        <v>0</v>
      </c>
      <c r="H189">
        <v>6</v>
      </c>
      <c r="I189">
        <v>0</v>
      </c>
      <c r="J189">
        <v>2</v>
      </c>
      <c r="K189" t="s">
        <v>22</v>
      </c>
      <c r="L189" t="s">
        <v>241</v>
      </c>
      <c r="M189" t="s">
        <v>241</v>
      </c>
      <c r="N189" t="s">
        <v>23</v>
      </c>
      <c r="O189" t="s">
        <v>241</v>
      </c>
      <c r="P189" t="s">
        <v>241</v>
      </c>
      <c r="Q189" t="s">
        <v>944</v>
      </c>
      <c r="R189" s="11">
        <v>46098.699305555558</v>
      </c>
    </row>
    <row r="190" spans="1:18" x14ac:dyDescent="0.25">
      <c r="A190">
        <v>152</v>
      </c>
      <c r="B190" s="5">
        <v>46098</v>
      </c>
      <c r="C190" t="s">
        <v>51</v>
      </c>
      <c r="D190" t="s">
        <v>156</v>
      </c>
      <c r="E190" t="s">
        <v>53</v>
      </c>
      <c r="F190">
        <v>2</v>
      </c>
      <c r="G190">
        <v>0</v>
      </c>
      <c r="H190">
        <v>2</v>
      </c>
      <c r="I190">
        <v>0</v>
      </c>
      <c r="J190">
        <v>1</v>
      </c>
      <c r="K190" t="s">
        <v>215</v>
      </c>
      <c r="L190" t="s">
        <v>241</v>
      </c>
      <c r="M190" t="s">
        <v>241</v>
      </c>
      <c r="N190" t="s">
        <v>216</v>
      </c>
      <c r="O190" t="s">
        <v>241</v>
      </c>
      <c r="P190" t="s">
        <v>241</v>
      </c>
      <c r="Q190">
        <v>553285621</v>
      </c>
      <c r="R190" s="11">
        <v>46098.824305555558</v>
      </c>
    </row>
    <row r="191" spans="1:18" x14ac:dyDescent="0.25">
      <c r="A191">
        <v>153</v>
      </c>
      <c r="B191" s="5">
        <v>46096</v>
      </c>
      <c r="C191" t="s">
        <v>51</v>
      </c>
      <c r="D191" t="s">
        <v>82</v>
      </c>
      <c r="E191" t="s">
        <v>53</v>
      </c>
      <c r="F191">
        <v>3</v>
      </c>
      <c r="G191">
        <v>0</v>
      </c>
      <c r="H191">
        <v>10</v>
      </c>
      <c r="I191">
        <v>0</v>
      </c>
      <c r="J191">
        <v>0</v>
      </c>
      <c r="K191" t="s">
        <v>11</v>
      </c>
      <c r="L191" t="s">
        <v>241</v>
      </c>
      <c r="M191" t="s">
        <v>241</v>
      </c>
      <c r="N191" t="s">
        <v>220</v>
      </c>
      <c r="O191" t="s">
        <v>241</v>
      </c>
      <c r="P191" t="s">
        <v>241</v>
      </c>
      <c r="Q191">
        <v>504227514</v>
      </c>
      <c r="R191" s="11">
        <v>46098.898611111108</v>
      </c>
    </row>
    <row r="192" spans="1:18" x14ac:dyDescent="0.25">
      <c r="A192">
        <v>154</v>
      </c>
      <c r="B192" s="5">
        <v>46097</v>
      </c>
      <c r="C192" t="s">
        <v>51</v>
      </c>
      <c r="D192" t="s">
        <v>82</v>
      </c>
      <c r="E192" t="s">
        <v>53</v>
      </c>
      <c r="F192">
        <v>3</v>
      </c>
      <c r="G192">
        <v>15</v>
      </c>
      <c r="H192">
        <v>0</v>
      </c>
      <c r="I192">
        <v>0</v>
      </c>
      <c r="J192">
        <v>0</v>
      </c>
      <c r="K192" t="s">
        <v>11</v>
      </c>
      <c r="L192" t="s">
        <v>241</v>
      </c>
      <c r="M192" t="s">
        <v>241</v>
      </c>
      <c r="N192" t="s">
        <v>220</v>
      </c>
      <c r="O192" t="s">
        <v>241</v>
      </c>
      <c r="P192" t="s">
        <v>241</v>
      </c>
      <c r="Q192">
        <v>504227514</v>
      </c>
      <c r="R192" s="11">
        <v>46098.899305555555</v>
      </c>
    </row>
    <row r="193" spans="1:18" x14ac:dyDescent="0.25">
      <c r="A193">
        <v>155</v>
      </c>
      <c r="B193" s="5">
        <v>46098</v>
      </c>
      <c r="C193" t="s">
        <v>51</v>
      </c>
      <c r="D193" t="s">
        <v>160</v>
      </c>
      <c r="E193" t="s">
        <v>53</v>
      </c>
      <c r="F193">
        <v>3</v>
      </c>
      <c r="G193">
        <v>18</v>
      </c>
      <c r="H193">
        <v>0</v>
      </c>
      <c r="I193">
        <v>0</v>
      </c>
      <c r="J193">
        <v>0</v>
      </c>
      <c r="K193" t="s">
        <v>178</v>
      </c>
      <c r="L193" t="s">
        <v>241</v>
      </c>
      <c r="M193" t="s">
        <v>241</v>
      </c>
      <c r="N193" t="s">
        <v>217</v>
      </c>
      <c r="O193" t="s">
        <v>241</v>
      </c>
      <c r="P193" t="s">
        <v>241</v>
      </c>
      <c r="Q193">
        <v>569007478</v>
      </c>
      <c r="R193" s="11">
        <v>46098.995138888888</v>
      </c>
    </row>
    <row r="194" spans="1:18" x14ac:dyDescent="0.25">
      <c r="A194">
        <v>156</v>
      </c>
      <c r="B194" s="5">
        <v>46097</v>
      </c>
      <c r="C194" t="s">
        <v>51</v>
      </c>
      <c r="D194" t="s">
        <v>154</v>
      </c>
      <c r="E194" t="s">
        <v>53</v>
      </c>
      <c r="F194">
        <v>3</v>
      </c>
      <c r="G194">
        <v>3</v>
      </c>
      <c r="H194">
        <v>0</v>
      </c>
      <c r="I194">
        <v>0</v>
      </c>
      <c r="J194">
        <v>0</v>
      </c>
      <c r="K194" t="s">
        <v>245</v>
      </c>
      <c r="L194" t="s">
        <v>241</v>
      </c>
      <c r="M194" t="s">
        <v>241</v>
      </c>
      <c r="N194" t="s">
        <v>213</v>
      </c>
      <c r="O194" t="s">
        <v>241</v>
      </c>
      <c r="P194" t="s">
        <v>241</v>
      </c>
      <c r="Q194">
        <v>509288074</v>
      </c>
      <c r="R194" s="11">
        <v>46099.15902777778</v>
      </c>
    </row>
    <row r="195" spans="1:18" x14ac:dyDescent="0.25">
      <c r="A195">
        <v>157</v>
      </c>
      <c r="B195" s="5">
        <v>46098</v>
      </c>
      <c r="C195" t="s">
        <v>75</v>
      </c>
      <c r="D195" t="s">
        <v>752</v>
      </c>
      <c r="E195" t="s">
        <v>76</v>
      </c>
      <c r="F195">
        <v>1</v>
      </c>
      <c r="G195">
        <v>0</v>
      </c>
      <c r="H195">
        <v>10</v>
      </c>
      <c r="I195">
        <v>0</v>
      </c>
      <c r="J195">
        <v>0</v>
      </c>
      <c r="K195" t="s">
        <v>182</v>
      </c>
      <c r="L195" t="s">
        <v>241</v>
      </c>
      <c r="M195" t="s">
        <v>241</v>
      </c>
      <c r="N195" t="s">
        <v>20</v>
      </c>
      <c r="O195" t="s">
        <v>241</v>
      </c>
      <c r="P195" t="s">
        <v>241</v>
      </c>
      <c r="Q195">
        <v>504221390</v>
      </c>
      <c r="R195" s="11">
        <v>46099.227777777778</v>
      </c>
    </row>
    <row r="196" spans="1:18" x14ac:dyDescent="0.25">
      <c r="A196">
        <v>158</v>
      </c>
      <c r="B196" s="5">
        <v>46097</v>
      </c>
      <c r="C196" t="s">
        <v>75</v>
      </c>
      <c r="D196" t="s">
        <v>752</v>
      </c>
      <c r="E196" t="s">
        <v>76</v>
      </c>
      <c r="F196">
        <v>1</v>
      </c>
      <c r="G196">
        <v>0</v>
      </c>
      <c r="H196">
        <v>0</v>
      </c>
      <c r="I196">
        <v>0</v>
      </c>
      <c r="J196">
        <v>3</v>
      </c>
      <c r="K196" t="s">
        <v>182</v>
      </c>
      <c r="L196" t="s">
        <v>241</v>
      </c>
      <c r="M196" t="s">
        <v>241</v>
      </c>
      <c r="N196" t="s">
        <v>20</v>
      </c>
      <c r="O196" t="s">
        <v>241</v>
      </c>
      <c r="P196" t="s">
        <v>241</v>
      </c>
      <c r="Q196">
        <v>504221390</v>
      </c>
      <c r="R196" s="11">
        <v>46099.229166666664</v>
      </c>
    </row>
    <row r="197" spans="1:18" x14ac:dyDescent="0.25">
      <c r="A197">
        <v>159</v>
      </c>
      <c r="B197" s="5">
        <v>46093</v>
      </c>
      <c r="C197" t="s">
        <v>75</v>
      </c>
      <c r="D197" t="s">
        <v>752</v>
      </c>
      <c r="E197" t="s">
        <v>76</v>
      </c>
      <c r="F197">
        <v>1</v>
      </c>
      <c r="G197">
        <v>0</v>
      </c>
      <c r="H197">
        <v>4</v>
      </c>
      <c r="I197">
        <v>0</v>
      </c>
      <c r="J197">
        <v>1</v>
      </c>
      <c r="K197" t="s">
        <v>182</v>
      </c>
      <c r="L197" t="s">
        <v>241</v>
      </c>
      <c r="M197" t="s">
        <v>241</v>
      </c>
      <c r="N197" t="s">
        <v>20</v>
      </c>
      <c r="O197" t="s">
        <v>241</v>
      </c>
      <c r="P197" t="s">
        <v>241</v>
      </c>
      <c r="Q197">
        <v>504221390</v>
      </c>
      <c r="R197" s="11">
        <v>46099.231249999997</v>
      </c>
    </row>
    <row r="198" spans="1:18" x14ac:dyDescent="0.25">
      <c r="A198">
        <v>160</v>
      </c>
      <c r="B198" s="5">
        <v>46095</v>
      </c>
      <c r="C198" t="s">
        <v>75</v>
      </c>
      <c r="D198" t="s">
        <v>752</v>
      </c>
      <c r="E198" t="s">
        <v>76</v>
      </c>
      <c r="F198">
        <v>1</v>
      </c>
      <c r="G198">
        <v>0</v>
      </c>
      <c r="H198">
        <v>4</v>
      </c>
      <c r="I198">
        <v>0</v>
      </c>
      <c r="J198">
        <v>2</v>
      </c>
      <c r="K198" t="s">
        <v>182</v>
      </c>
      <c r="L198" t="s">
        <v>241</v>
      </c>
      <c r="M198" t="s">
        <v>241</v>
      </c>
      <c r="N198" t="s">
        <v>20</v>
      </c>
      <c r="O198" t="s">
        <v>241</v>
      </c>
      <c r="P198" t="s">
        <v>241</v>
      </c>
      <c r="Q198">
        <v>504221390</v>
      </c>
      <c r="R198" s="11">
        <v>46099.231944444444</v>
      </c>
    </row>
    <row r="199" spans="1:18" x14ac:dyDescent="0.25">
      <c r="A199">
        <v>161</v>
      </c>
      <c r="B199" s="5">
        <v>46099</v>
      </c>
      <c r="C199" t="s">
        <v>51</v>
      </c>
      <c r="D199" t="s">
        <v>71</v>
      </c>
      <c r="E199" t="s">
        <v>53</v>
      </c>
      <c r="F199">
        <v>2</v>
      </c>
      <c r="G199">
        <v>0</v>
      </c>
      <c r="H199">
        <v>10</v>
      </c>
      <c r="I199">
        <v>0</v>
      </c>
      <c r="J199">
        <v>1</v>
      </c>
      <c r="K199" t="s">
        <v>14</v>
      </c>
      <c r="L199" t="s">
        <v>241</v>
      </c>
      <c r="M199" t="s">
        <v>241</v>
      </c>
      <c r="N199" t="s">
        <v>232</v>
      </c>
      <c r="O199" t="s">
        <v>241</v>
      </c>
      <c r="P199" t="s">
        <v>241</v>
      </c>
      <c r="Q199">
        <v>565265112</v>
      </c>
      <c r="R199" s="11">
        <v>46099.720138888886</v>
      </c>
    </row>
    <row r="200" spans="1:18" x14ac:dyDescent="0.25">
      <c r="A200">
        <v>162</v>
      </c>
      <c r="B200" s="5">
        <v>46099</v>
      </c>
      <c r="C200" t="s">
        <v>51</v>
      </c>
      <c r="D200" t="s">
        <v>156</v>
      </c>
      <c r="E200" t="s">
        <v>53</v>
      </c>
      <c r="F200">
        <v>2</v>
      </c>
      <c r="G200">
        <v>20</v>
      </c>
      <c r="H200">
        <v>4</v>
      </c>
      <c r="I200">
        <v>0</v>
      </c>
      <c r="J200">
        <v>0</v>
      </c>
      <c r="K200" t="s">
        <v>215</v>
      </c>
      <c r="L200" t="s">
        <v>241</v>
      </c>
      <c r="M200" t="s">
        <v>241</v>
      </c>
      <c r="N200" t="s">
        <v>216</v>
      </c>
      <c r="O200" t="s">
        <v>241</v>
      </c>
      <c r="P200" t="s">
        <v>241</v>
      </c>
      <c r="Q200">
        <v>553285621</v>
      </c>
      <c r="R200" s="11">
        <v>46099.785416666666</v>
      </c>
    </row>
    <row r="201" spans="1:18" x14ac:dyDescent="0.25">
      <c r="A201">
        <v>163</v>
      </c>
      <c r="B201" s="5">
        <v>46100</v>
      </c>
      <c r="C201" t="s">
        <v>51</v>
      </c>
      <c r="D201" t="s">
        <v>160</v>
      </c>
      <c r="E201" t="s">
        <v>53</v>
      </c>
      <c r="F201">
        <v>3</v>
      </c>
      <c r="G201">
        <v>8</v>
      </c>
      <c r="H201">
        <v>0</v>
      </c>
      <c r="I201">
        <v>0</v>
      </c>
      <c r="J201">
        <v>1</v>
      </c>
      <c r="K201" t="s">
        <v>178</v>
      </c>
      <c r="L201" t="s">
        <v>241</v>
      </c>
      <c r="M201" t="s">
        <v>241</v>
      </c>
      <c r="N201" t="s">
        <v>217</v>
      </c>
      <c r="O201" t="s">
        <v>241</v>
      </c>
      <c r="P201" t="s">
        <v>241</v>
      </c>
      <c r="Q201">
        <v>569007478</v>
      </c>
      <c r="R201" s="11">
        <v>46100.033333333333</v>
      </c>
    </row>
    <row r="202" spans="1:18" x14ac:dyDescent="0.25">
      <c r="A202">
        <v>164</v>
      </c>
      <c r="B202" s="5">
        <v>46099</v>
      </c>
      <c r="C202" t="s">
        <v>51</v>
      </c>
      <c r="D202" t="s">
        <v>66</v>
      </c>
      <c r="E202" t="s">
        <v>53</v>
      </c>
      <c r="F202">
        <v>1</v>
      </c>
      <c r="G202">
        <v>2</v>
      </c>
      <c r="H202">
        <v>4</v>
      </c>
      <c r="I202">
        <v>0</v>
      </c>
      <c r="J202">
        <v>2</v>
      </c>
      <c r="K202" t="s">
        <v>13</v>
      </c>
      <c r="L202" t="s">
        <v>241</v>
      </c>
      <c r="M202" t="s">
        <v>241</v>
      </c>
      <c r="N202" t="s">
        <v>230</v>
      </c>
      <c r="O202" t="s">
        <v>241</v>
      </c>
      <c r="P202" t="s">
        <v>241</v>
      </c>
      <c r="Q202">
        <v>543734692</v>
      </c>
      <c r="R202" s="11">
        <v>46100.146527777775</v>
      </c>
    </row>
    <row r="203" spans="1:18" x14ac:dyDescent="0.25">
      <c r="A203">
        <v>165</v>
      </c>
      <c r="B203" s="5">
        <v>46100</v>
      </c>
      <c r="C203" t="s">
        <v>51</v>
      </c>
      <c r="D203" t="s">
        <v>154</v>
      </c>
      <c r="E203" t="s">
        <v>53</v>
      </c>
      <c r="F203">
        <v>3</v>
      </c>
      <c r="G203">
        <v>4</v>
      </c>
      <c r="H203">
        <v>0</v>
      </c>
      <c r="I203">
        <v>0</v>
      </c>
      <c r="J203">
        <v>0</v>
      </c>
      <c r="K203" t="s">
        <v>245</v>
      </c>
      <c r="L203" t="s">
        <v>241</v>
      </c>
      <c r="M203" t="s">
        <v>241</v>
      </c>
      <c r="N203" t="s">
        <v>241</v>
      </c>
      <c r="O203" t="s">
        <v>241</v>
      </c>
      <c r="P203" t="s">
        <v>241</v>
      </c>
      <c r="Q203">
        <v>509288074</v>
      </c>
      <c r="R203" s="11">
        <v>46100.165972222225</v>
      </c>
    </row>
    <row r="204" spans="1:18" x14ac:dyDescent="0.25">
      <c r="A204">
        <v>166</v>
      </c>
      <c r="B204" s="5">
        <v>46100</v>
      </c>
      <c r="C204" t="s">
        <v>51</v>
      </c>
      <c r="D204" t="s">
        <v>113</v>
      </c>
      <c r="E204" t="s">
        <v>53</v>
      </c>
      <c r="F204">
        <v>2</v>
      </c>
      <c r="G204">
        <v>15</v>
      </c>
      <c r="H204">
        <v>0</v>
      </c>
      <c r="I204">
        <v>0</v>
      </c>
      <c r="J204">
        <v>0</v>
      </c>
      <c r="K204" t="s">
        <v>177</v>
      </c>
      <c r="L204" t="s">
        <v>241</v>
      </c>
      <c r="M204" t="s">
        <v>241</v>
      </c>
      <c r="N204" t="s">
        <v>185</v>
      </c>
      <c r="O204" t="s">
        <v>241</v>
      </c>
      <c r="P204" t="s">
        <v>241</v>
      </c>
      <c r="Q204">
        <v>508656641</v>
      </c>
      <c r="R204" s="11">
        <v>46104.705555555556</v>
      </c>
    </row>
    <row r="205" spans="1:18" x14ac:dyDescent="0.25">
      <c r="A205">
        <v>167</v>
      </c>
      <c r="B205" s="5">
        <v>46104</v>
      </c>
      <c r="C205" t="s">
        <v>51</v>
      </c>
      <c r="D205" t="s">
        <v>113</v>
      </c>
      <c r="E205" t="s">
        <v>53</v>
      </c>
      <c r="F205">
        <v>2</v>
      </c>
      <c r="G205">
        <v>20</v>
      </c>
      <c r="H205">
        <v>0</v>
      </c>
      <c r="I205">
        <v>0</v>
      </c>
      <c r="J205">
        <v>0</v>
      </c>
      <c r="K205" t="s">
        <v>177</v>
      </c>
      <c r="L205" t="s">
        <v>241</v>
      </c>
      <c r="M205" t="s">
        <v>241</v>
      </c>
      <c r="N205" t="s">
        <v>185</v>
      </c>
      <c r="O205" t="s">
        <v>241</v>
      </c>
      <c r="P205" t="s">
        <v>241</v>
      </c>
      <c r="Q205">
        <v>508656641</v>
      </c>
      <c r="R205" s="11">
        <v>46104.706250000003</v>
      </c>
    </row>
    <row r="206" spans="1:18" x14ac:dyDescent="0.25">
      <c r="A206">
        <v>168</v>
      </c>
      <c r="B206" s="5">
        <v>46104</v>
      </c>
      <c r="C206" t="s">
        <v>51</v>
      </c>
      <c r="D206" t="s">
        <v>116</v>
      </c>
      <c r="E206" t="s">
        <v>53</v>
      </c>
      <c r="F206">
        <v>3</v>
      </c>
      <c r="G206">
        <v>0</v>
      </c>
      <c r="H206">
        <v>19</v>
      </c>
      <c r="I206">
        <v>0</v>
      </c>
      <c r="J206">
        <v>0</v>
      </c>
      <c r="K206" t="s">
        <v>14</v>
      </c>
      <c r="L206" t="s">
        <v>241</v>
      </c>
      <c r="M206" t="s">
        <v>241</v>
      </c>
      <c r="N206" t="s">
        <v>232</v>
      </c>
      <c r="O206" t="s">
        <v>241</v>
      </c>
      <c r="P206" t="s">
        <v>241</v>
      </c>
      <c r="Q206">
        <v>565265112</v>
      </c>
      <c r="R206" s="11">
        <v>46104.716666666667</v>
      </c>
    </row>
    <row r="207" spans="1:18" x14ac:dyDescent="0.25">
      <c r="A207">
        <v>169</v>
      </c>
      <c r="B207" s="5">
        <v>46100</v>
      </c>
      <c r="C207" t="s">
        <v>51</v>
      </c>
      <c r="D207" t="s">
        <v>113</v>
      </c>
      <c r="E207" t="s">
        <v>53</v>
      </c>
      <c r="F207">
        <v>2</v>
      </c>
      <c r="G207">
        <v>14</v>
      </c>
      <c r="H207">
        <v>0</v>
      </c>
      <c r="I207">
        <v>0</v>
      </c>
      <c r="J207">
        <v>0</v>
      </c>
      <c r="K207" t="s">
        <v>215</v>
      </c>
      <c r="L207" t="s">
        <v>241</v>
      </c>
      <c r="M207" t="s">
        <v>241</v>
      </c>
      <c r="N207" t="s">
        <v>216</v>
      </c>
      <c r="O207" t="s">
        <v>241</v>
      </c>
      <c r="P207" t="s">
        <v>241</v>
      </c>
      <c r="Q207">
        <v>553285621</v>
      </c>
      <c r="R207" s="11">
        <v>46104.720833333333</v>
      </c>
    </row>
    <row r="208" spans="1:18" x14ac:dyDescent="0.25">
      <c r="A208">
        <v>170</v>
      </c>
      <c r="B208" s="5">
        <v>46104</v>
      </c>
      <c r="C208" t="s">
        <v>51</v>
      </c>
      <c r="D208" t="s">
        <v>113</v>
      </c>
      <c r="E208" t="s">
        <v>53</v>
      </c>
      <c r="F208">
        <v>2</v>
      </c>
      <c r="G208">
        <v>22</v>
      </c>
      <c r="H208">
        <v>0</v>
      </c>
      <c r="I208">
        <v>0</v>
      </c>
      <c r="J208">
        <v>0</v>
      </c>
      <c r="K208" t="s">
        <v>215</v>
      </c>
      <c r="L208" t="s">
        <v>241</v>
      </c>
      <c r="M208" t="s">
        <v>241</v>
      </c>
      <c r="N208" t="s">
        <v>216</v>
      </c>
      <c r="O208" t="s">
        <v>241</v>
      </c>
      <c r="P208" t="s">
        <v>241</v>
      </c>
      <c r="Q208">
        <v>553285621</v>
      </c>
      <c r="R208" s="11">
        <v>46104.72152777778</v>
      </c>
    </row>
    <row r="209" spans="1:18" x14ac:dyDescent="0.25">
      <c r="A209">
        <v>171</v>
      </c>
      <c r="B209" s="5">
        <v>46104</v>
      </c>
      <c r="C209" t="s">
        <v>51</v>
      </c>
      <c r="D209" t="s">
        <v>113</v>
      </c>
      <c r="E209" t="s">
        <v>53</v>
      </c>
      <c r="F209">
        <v>2</v>
      </c>
      <c r="G209">
        <v>30</v>
      </c>
      <c r="H209">
        <v>0</v>
      </c>
      <c r="I209">
        <v>0</v>
      </c>
      <c r="J209">
        <v>0</v>
      </c>
      <c r="K209" t="s">
        <v>176</v>
      </c>
      <c r="L209" t="s">
        <v>241</v>
      </c>
      <c r="M209" t="s">
        <v>241</v>
      </c>
      <c r="N209" t="s">
        <v>184</v>
      </c>
      <c r="O209" t="s">
        <v>241</v>
      </c>
      <c r="P209" t="s">
        <v>241</v>
      </c>
      <c r="Q209">
        <v>568325418</v>
      </c>
      <c r="R209" s="11">
        <v>46104.792361111111</v>
      </c>
    </row>
    <row r="210" spans="1:18" x14ac:dyDescent="0.25">
      <c r="A210">
        <v>172</v>
      </c>
      <c r="B210" s="5">
        <v>46105</v>
      </c>
      <c r="C210" t="s">
        <v>51</v>
      </c>
      <c r="D210" t="s">
        <v>82</v>
      </c>
      <c r="E210" t="s">
        <v>53</v>
      </c>
      <c r="F210">
        <v>3</v>
      </c>
      <c r="G210">
        <v>6</v>
      </c>
      <c r="H210">
        <v>0</v>
      </c>
      <c r="I210">
        <v>0</v>
      </c>
      <c r="J210">
        <v>6</v>
      </c>
      <c r="K210" t="s">
        <v>178</v>
      </c>
      <c r="L210" t="s">
        <v>241</v>
      </c>
      <c r="M210" t="s">
        <v>241</v>
      </c>
      <c r="N210" t="s">
        <v>217</v>
      </c>
      <c r="O210" t="s">
        <v>241</v>
      </c>
      <c r="P210" t="s">
        <v>241</v>
      </c>
      <c r="Q210">
        <v>569007478</v>
      </c>
      <c r="R210" s="11">
        <v>46105.021527777775</v>
      </c>
    </row>
    <row r="211" spans="1:18" x14ac:dyDescent="0.25">
      <c r="A211">
        <v>173</v>
      </c>
      <c r="B211" s="5">
        <v>46105</v>
      </c>
      <c r="C211" t="s">
        <v>51</v>
      </c>
      <c r="D211" t="s">
        <v>113</v>
      </c>
      <c r="E211" t="s">
        <v>53</v>
      </c>
      <c r="F211">
        <v>2</v>
      </c>
      <c r="G211">
        <v>18</v>
      </c>
      <c r="H211">
        <v>0</v>
      </c>
      <c r="I211">
        <v>0</v>
      </c>
      <c r="J211">
        <v>0</v>
      </c>
      <c r="K211" t="s">
        <v>177</v>
      </c>
      <c r="L211" t="s">
        <v>241</v>
      </c>
      <c r="M211" t="s">
        <v>241</v>
      </c>
      <c r="N211" t="s">
        <v>185</v>
      </c>
      <c r="O211" t="s">
        <v>241</v>
      </c>
      <c r="P211" t="s">
        <v>241</v>
      </c>
      <c r="Q211">
        <v>508656641</v>
      </c>
      <c r="R211" s="11">
        <v>46105.643055555556</v>
      </c>
    </row>
    <row r="212" spans="1:18" x14ac:dyDescent="0.25">
      <c r="A212">
        <v>174</v>
      </c>
      <c r="B212" s="5">
        <v>46105</v>
      </c>
      <c r="C212" t="s">
        <v>51</v>
      </c>
      <c r="D212" t="s">
        <v>116</v>
      </c>
      <c r="E212" t="s">
        <v>53</v>
      </c>
      <c r="F212">
        <v>3</v>
      </c>
      <c r="G212">
        <v>0</v>
      </c>
      <c r="H212">
        <v>17</v>
      </c>
      <c r="I212">
        <v>0</v>
      </c>
      <c r="J212">
        <v>1</v>
      </c>
      <c r="K212" t="s">
        <v>14</v>
      </c>
      <c r="L212" t="s">
        <v>241</v>
      </c>
      <c r="M212" t="s">
        <v>241</v>
      </c>
      <c r="N212" t="s">
        <v>232</v>
      </c>
      <c r="O212" t="s">
        <v>241</v>
      </c>
      <c r="P212" t="s">
        <v>241</v>
      </c>
      <c r="Q212">
        <v>565265112</v>
      </c>
      <c r="R212" s="11">
        <v>46105.739583333336</v>
      </c>
    </row>
    <row r="213" spans="1:18" x14ac:dyDescent="0.25">
      <c r="A213">
        <v>175</v>
      </c>
      <c r="B213" s="5">
        <v>46104</v>
      </c>
      <c r="C213" t="s">
        <v>75</v>
      </c>
      <c r="D213" t="s">
        <v>710</v>
      </c>
      <c r="E213" t="s">
        <v>76</v>
      </c>
      <c r="F213">
        <v>1</v>
      </c>
      <c r="G213">
        <v>7</v>
      </c>
      <c r="H213">
        <v>0</v>
      </c>
      <c r="I213">
        <v>0</v>
      </c>
      <c r="J213">
        <v>0</v>
      </c>
      <c r="K213" t="s">
        <v>180</v>
      </c>
      <c r="L213" t="s">
        <v>241</v>
      </c>
      <c r="M213" t="s">
        <v>241</v>
      </c>
      <c r="N213" t="s">
        <v>233</v>
      </c>
      <c r="O213" t="s">
        <v>241</v>
      </c>
      <c r="P213" t="s">
        <v>241</v>
      </c>
      <c r="Q213">
        <v>54227695</v>
      </c>
      <c r="R213" s="11">
        <v>46105.748611111114</v>
      </c>
    </row>
    <row r="214" spans="1:18" x14ac:dyDescent="0.25">
      <c r="A214">
        <v>176</v>
      </c>
      <c r="B214" s="5">
        <v>46105</v>
      </c>
      <c r="C214" t="s">
        <v>75</v>
      </c>
      <c r="D214" t="s">
        <v>706</v>
      </c>
      <c r="E214" t="s">
        <v>114</v>
      </c>
      <c r="F214">
        <v>4</v>
      </c>
      <c r="G214">
        <v>5</v>
      </c>
      <c r="H214">
        <v>2</v>
      </c>
      <c r="I214">
        <v>0</v>
      </c>
      <c r="J214">
        <v>1</v>
      </c>
      <c r="K214" t="s">
        <v>22</v>
      </c>
      <c r="L214" t="s">
        <v>241</v>
      </c>
      <c r="M214" t="s">
        <v>241</v>
      </c>
      <c r="N214" t="s">
        <v>23</v>
      </c>
      <c r="O214" t="s">
        <v>241</v>
      </c>
      <c r="P214" t="s">
        <v>241</v>
      </c>
      <c r="Q214" t="s">
        <v>940</v>
      </c>
      <c r="R214" s="11">
        <v>46105.79791666667</v>
      </c>
    </row>
    <row r="215" spans="1:18" x14ac:dyDescent="0.25">
      <c r="A215">
        <v>177</v>
      </c>
      <c r="B215" s="5">
        <v>46105</v>
      </c>
      <c r="C215" t="s">
        <v>51</v>
      </c>
      <c r="D215" t="s">
        <v>113</v>
      </c>
      <c r="E215" t="s">
        <v>53</v>
      </c>
      <c r="F215">
        <v>2</v>
      </c>
      <c r="G215">
        <v>18</v>
      </c>
      <c r="H215">
        <v>0</v>
      </c>
      <c r="I215">
        <v>0</v>
      </c>
      <c r="J215">
        <v>0</v>
      </c>
      <c r="K215" t="s">
        <v>215</v>
      </c>
      <c r="L215" t="s">
        <v>241</v>
      </c>
      <c r="M215" t="s">
        <v>241</v>
      </c>
      <c r="N215" t="s">
        <v>216</v>
      </c>
      <c r="O215" t="s">
        <v>241</v>
      </c>
      <c r="P215" t="s">
        <v>241</v>
      </c>
      <c r="Q215">
        <v>553285621</v>
      </c>
      <c r="R215" s="11">
        <v>46105.857638888891</v>
      </c>
    </row>
    <row r="216" spans="1:18" x14ac:dyDescent="0.25">
      <c r="A216">
        <v>178</v>
      </c>
      <c r="B216" s="5">
        <v>46105</v>
      </c>
      <c r="C216" t="s">
        <v>75</v>
      </c>
      <c r="D216" t="s">
        <v>710</v>
      </c>
      <c r="E216" t="s">
        <v>76</v>
      </c>
      <c r="F216">
        <v>1</v>
      </c>
      <c r="G216">
        <v>10</v>
      </c>
      <c r="H216">
        <v>0</v>
      </c>
      <c r="I216">
        <v>0</v>
      </c>
      <c r="J216">
        <v>0</v>
      </c>
      <c r="K216" t="s">
        <v>180</v>
      </c>
      <c r="L216" t="s">
        <v>241</v>
      </c>
      <c r="M216" t="s">
        <v>241</v>
      </c>
      <c r="N216" t="s">
        <v>233</v>
      </c>
      <c r="O216" t="s">
        <v>241</v>
      </c>
      <c r="P216" t="s">
        <v>241</v>
      </c>
      <c r="Q216">
        <v>54227695</v>
      </c>
      <c r="R216" s="11">
        <v>46106.152083333334</v>
      </c>
    </row>
    <row r="217" spans="1:18" x14ac:dyDescent="0.25">
      <c r="A217">
        <v>179</v>
      </c>
      <c r="B217" s="5">
        <v>46106</v>
      </c>
      <c r="C217" t="s">
        <v>51</v>
      </c>
      <c r="D217" t="s">
        <v>116</v>
      </c>
      <c r="E217" t="s">
        <v>53</v>
      </c>
      <c r="F217">
        <v>3</v>
      </c>
      <c r="G217">
        <v>0</v>
      </c>
      <c r="H217">
        <v>15</v>
      </c>
      <c r="I217">
        <v>0</v>
      </c>
      <c r="J217">
        <v>2</v>
      </c>
      <c r="K217" t="s">
        <v>14</v>
      </c>
      <c r="L217" t="s">
        <v>241</v>
      </c>
      <c r="M217" t="s">
        <v>241</v>
      </c>
      <c r="N217" t="s">
        <v>232</v>
      </c>
      <c r="O217" t="s">
        <v>241</v>
      </c>
      <c r="P217" t="s">
        <v>241</v>
      </c>
      <c r="Q217">
        <v>565265112</v>
      </c>
      <c r="R217" s="11">
        <v>46106.719444444447</v>
      </c>
    </row>
    <row r="218" spans="1:18" x14ac:dyDescent="0.25">
      <c r="A218">
        <v>180</v>
      </c>
      <c r="B218" s="5">
        <v>46106</v>
      </c>
      <c r="C218" t="s">
        <v>51</v>
      </c>
      <c r="D218" t="s">
        <v>116</v>
      </c>
      <c r="E218" t="s">
        <v>53</v>
      </c>
      <c r="F218">
        <v>3</v>
      </c>
      <c r="G218">
        <v>0</v>
      </c>
      <c r="H218">
        <v>15</v>
      </c>
      <c r="I218">
        <v>0</v>
      </c>
      <c r="J218">
        <v>2</v>
      </c>
      <c r="K218" t="s">
        <v>14</v>
      </c>
      <c r="L218" t="s">
        <v>241</v>
      </c>
      <c r="M218" t="s">
        <v>241</v>
      </c>
      <c r="N218" t="s">
        <v>232</v>
      </c>
      <c r="O218" t="s">
        <v>241</v>
      </c>
      <c r="P218" t="s">
        <v>241</v>
      </c>
      <c r="Q218">
        <v>565265112</v>
      </c>
      <c r="R218" s="11">
        <v>46106.720138888886</v>
      </c>
    </row>
    <row r="219" spans="1:18" x14ac:dyDescent="0.25">
      <c r="A219">
        <v>181</v>
      </c>
      <c r="B219" s="5">
        <v>46106</v>
      </c>
      <c r="C219" t="s">
        <v>75</v>
      </c>
      <c r="D219" t="s">
        <v>158</v>
      </c>
      <c r="E219" t="s">
        <v>76</v>
      </c>
      <c r="F219">
        <v>2</v>
      </c>
      <c r="G219">
        <v>16</v>
      </c>
      <c r="H219">
        <v>4</v>
      </c>
      <c r="I219">
        <v>0</v>
      </c>
      <c r="J219">
        <v>0</v>
      </c>
      <c r="K219" t="s">
        <v>22</v>
      </c>
      <c r="L219" t="s">
        <v>241</v>
      </c>
      <c r="M219" t="s">
        <v>241</v>
      </c>
      <c r="N219" t="s">
        <v>23</v>
      </c>
      <c r="O219" t="s">
        <v>241</v>
      </c>
      <c r="P219" t="s">
        <v>241</v>
      </c>
      <c r="Q219" t="s">
        <v>940</v>
      </c>
      <c r="R219" s="11">
        <v>46107.330555555556</v>
      </c>
    </row>
    <row r="220" spans="1:18" x14ac:dyDescent="0.25">
      <c r="A220">
        <v>182</v>
      </c>
      <c r="B220" s="5">
        <v>46106</v>
      </c>
      <c r="C220" t="s">
        <v>75</v>
      </c>
      <c r="D220" t="s">
        <v>710</v>
      </c>
      <c r="E220" t="s">
        <v>76</v>
      </c>
      <c r="F220">
        <v>1</v>
      </c>
      <c r="G220">
        <v>7</v>
      </c>
      <c r="H220">
        <v>0</v>
      </c>
      <c r="I220">
        <v>0</v>
      </c>
      <c r="J220">
        <v>0</v>
      </c>
      <c r="K220" t="s">
        <v>180</v>
      </c>
      <c r="L220" t="s">
        <v>241</v>
      </c>
      <c r="M220" t="s">
        <v>241</v>
      </c>
      <c r="N220" t="s">
        <v>233</v>
      </c>
      <c r="O220" t="s">
        <v>241</v>
      </c>
      <c r="P220" t="s">
        <v>241</v>
      </c>
      <c r="Q220">
        <v>54227695</v>
      </c>
      <c r="R220" s="11">
        <v>46107.572222222225</v>
      </c>
    </row>
    <row r="221" spans="1:18" x14ac:dyDescent="0.25">
      <c r="A221">
        <v>183</v>
      </c>
      <c r="B221" s="5">
        <v>46107</v>
      </c>
      <c r="C221" t="s">
        <v>51</v>
      </c>
      <c r="D221" t="s">
        <v>116</v>
      </c>
      <c r="E221" t="s">
        <v>53</v>
      </c>
      <c r="F221">
        <v>3</v>
      </c>
      <c r="G221">
        <v>27</v>
      </c>
      <c r="H221">
        <v>0</v>
      </c>
      <c r="I221">
        <v>0</v>
      </c>
      <c r="J221">
        <v>0</v>
      </c>
      <c r="K221" t="s">
        <v>14</v>
      </c>
      <c r="L221" t="s">
        <v>241</v>
      </c>
      <c r="M221" t="s">
        <v>241</v>
      </c>
      <c r="N221" t="s">
        <v>232</v>
      </c>
      <c r="O221" t="s">
        <v>241</v>
      </c>
      <c r="P221" t="s">
        <v>241</v>
      </c>
      <c r="Q221">
        <v>565265112</v>
      </c>
      <c r="R221" s="11">
        <v>46107.78402777778</v>
      </c>
    </row>
    <row r="222" spans="1:18" x14ac:dyDescent="0.25">
      <c r="A222">
        <v>184</v>
      </c>
      <c r="B222" s="5">
        <v>46106</v>
      </c>
      <c r="C222" t="s">
        <v>51</v>
      </c>
      <c r="D222" t="s">
        <v>418</v>
      </c>
      <c r="E222" t="s">
        <v>241</v>
      </c>
      <c r="F222" t="s">
        <v>241</v>
      </c>
      <c r="G222">
        <v>0</v>
      </c>
      <c r="H222">
        <v>0</v>
      </c>
      <c r="I222">
        <v>0</v>
      </c>
      <c r="J222">
        <v>5</v>
      </c>
      <c r="K222" t="s">
        <v>177</v>
      </c>
      <c r="L222" t="s">
        <v>241</v>
      </c>
      <c r="M222" t="s">
        <v>241</v>
      </c>
      <c r="N222" t="s">
        <v>185</v>
      </c>
      <c r="O222" t="s">
        <v>241</v>
      </c>
      <c r="P222" t="s">
        <v>241</v>
      </c>
      <c r="Q222">
        <v>508656641</v>
      </c>
      <c r="R222" s="11">
        <v>46108.229861111111</v>
      </c>
    </row>
    <row r="223" spans="1:18" x14ac:dyDescent="0.25">
      <c r="A223">
        <v>185</v>
      </c>
      <c r="B223" s="5">
        <v>46107</v>
      </c>
      <c r="C223" t="s">
        <v>51</v>
      </c>
      <c r="D223" t="s">
        <v>418</v>
      </c>
      <c r="E223" t="s">
        <v>241</v>
      </c>
      <c r="F223" t="s">
        <v>241</v>
      </c>
      <c r="G223">
        <v>0</v>
      </c>
      <c r="H223">
        <v>0</v>
      </c>
      <c r="I223">
        <v>0</v>
      </c>
      <c r="J223">
        <v>7</v>
      </c>
      <c r="K223" t="s">
        <v>177</v>
      </c>
      <c r="L223" t="s">
        <v>241</v>
      </c>
      <c r="M223" t="s">
        <v>241</v>
      </c>
      <c r="N223" t="s">
        <v>185</v>
      </c>
      <c r="O223" t="s">
        <v>241</v>
      </c>
      <c r="P223" t="s">
        <v>241</v>
      </c>
      <c r="Q223">
        <v>508656641</v>
      </c>
      <c r="R223" s="11">
        <v>46108.230555555558</v>
      </c>
    </row>
    <row r="224" spans="1:18" x14ac:dyDescent="0.25">
      <c r="A224">
        <v>186</v>
      </c>
      <c r="B224" s="5">
        <v>46106</v>
      </c>
      <c r="C224" t="s">
        <v>51</v>
      </c>
      <c r="D224" t="s">
        <v>418</v>
      </c>
      <c r="E224" t="s">
        <v>241</v>
      </c>
      <c r="F224" t="s">
        <v>241</v>
      </c>
      <c r="G224">
        <v>0</v>
      </c>
      <c r="H224">
        <v>3</v>
      </c>
      <c r="I224">
        <v>0</v>
      </c>
      <c r="J224">
        <v>2</v>
      </c>
      <c r="K224" t="s">
        <v>241</v>
      </c>
      <c r="L224" t="s">
        <v>241</v>
      </c>
      <c r="M224" t="s">
        <v>241</v>
      </c>
      <c r="N224" t="s">
        <v>216</v>
      </c>
      <c r="O224" t="s">
        <v>241</v>
      </c>
      <c r="P224" t="s">
        <v>241</v>
      </c>
      <c r="Q224">
        <v>553285621</v>
      </c>
      <c r="R224" s="11">
        <v>46108.231944444444</v>
      </c>
    </row>
    <row r="225" spans="1:18" x14ac:dyDescent="0.25">
      <c r="A225">
        <v>187</v>
      </c>
      <c r="B225" s="5">
        <v>46100</v>
      </c>
      <c r="C225" t="s">
        <v>51</v>
      </c>
      <c r="D225" t="s">
        <v>52</v>
      </c>
      <c r="E225" t="s">
        <v>53</v>
      </c>
      <c r="F225">
        <v>1</v>
      </c>
      <c r="G225">
        <v>9</v>
      </c>
      <c r="H225">
        <v>0</v>
      </c>
      <c r="I225">
        <v>0</v>
      </c>
      <c r="J225">
        <v>0</v>
      </c>
      <c r="K225" t="s">
        <v>245</v>
      </c>
      <c r="L225" t="s">
        <v>241</v>
      </c>
      <c r="M225" t="s">
        <v>241</v>
      </c>
      <c r="N225" t="s">
        <v>241</v>
      </c>
      <c r="O225" t="s">
        <v>241</v>
      </c>
      <c r="P225" t="s">
        <v>241</v>
      </c>
      <c r="Q225">
        <v>509288074</v>
      </c>
      <c r="R225" s="11">
        <v>46108.257638888892</v>
      </c>
    </row>
    <row r="226" spans="1:18" x14ac:dyDescent="0.25">
      <c r="A226">
        <v>188</v>
      </c>
      <c r="B226" s="5">
        <v>46107</v>
      </c>
      <c r="C226" t="s">
        <v>51</v>
      </c>
      <c r="D226" t="s">
        <v>116</v>
      </c>
      <c r="E226" t="s">
        <v>53</v>
      </c>
      <c r="F226">
        <v>1</v>
      </c>
      <c r="G226">
        <v>4</v>
      </c>
      <c r="H226">
        <v>0</v>
      </c>
      <c r="I226">
        <v>0</v>
      </c>
      <c r="J226">
        <v>0</v>
      </c>
      <c r="K226" t="s">
        <v>245</v>
      </c>
      <c r="L226" t="s">
        <v>241</v>
      </c>
      <c r="M226" t="s">
        <v>241</v>
      </c>
      <c r="N226" t="s">
        <v>241</v>
      </c>
      <c r="O226" t="s">
        <v>241</v>
      </c>
      <c r="P226" t="s">
        <v>241</v>
      </c>
      <c r="Q226">
        <v>509288074</v>
      </c>
      <c r="R226" s="11">
        <v>46108.286111111112</v>
      </c>
    </row>
    <row r="227" spans="1:18" x14ac:dyDescent="0.25">
      <c r="A227">
        <v>189</v>
      </c>
      <c r="B227" s="5">
        <v>46104</v>
      </c>
      <c r="C227" t="s">
        <v>51</v>
      </c>
      <c r="D227" t="s">
        <v>344</v>
      </c>
      <c r="E227" t="s">
        <v>53</v>
      </c>
      <c r="F227">
        <v>2</v>
      </c>
      <c r="G227">
        <v>18</v>
      </c>
      <c r="H227">
        <v>0</v>
      </c>
      <c r="I227">
        <v>0</v>
      </c>
      <c r="J227">
        <v>0</v>
      </c>
      <c r="K227" t="s">
        <v>245</v>
      </c>
      <c r="L227" t="s">
        <v>241</v>
      </c>
      <c r="M227" t="s">
        <v>241</v>
      </c>
      <c r="N227" t="s">
        <v>241</v>
      </c>
      <c r="O227" t="s">
        <v>241</v>
      </c>
      <c r="P227" t="s">
        <v>241</v>
      </c>
      <c r="Q227">
        <v>509288074</v>
      </c>
      <c r="R227" s="11">
        <v>46108.406944444447</v>
      </c>
    </row>
    <row r="228" spans="1:18" x14ac:dyDescent="0.25">
      <c r="A228">
        <v>190</v>
      </c>
      <c r="B228" s="5">
        <v>46106</v>
      </c>
      <c r="C228" t="s">
        <v>51</v>
      </c>
      <c r="D228" t="s">
        <v>364</v>
      </c>
      <c r="E228" t="s">
        <v>53</v>
      </c>
      <c r="F228" t="s">
        <v>241</v>
      </c>
      <c r="G228">
        <v>0</v>
      </c>
      <c r="H228">
        <v>11</v>
      </c>
      <c r="I228">
        <v>0</v>
      </c>
      <c r="J228">
        <v>0</v>
      </c>
      <c r="K228" t="s">
        <v>245</v>
      </c>
      <c r="L228" t="s">
        <v>241</v>
      </c>
      <c r="M228" t="s">
        <v>241</v>
      </c>
      <c r="N228" t="s">
        <v>241</v>
      </c>
      <c r="O228" t="s">
        <v>241</v>
      </c>
      <c r="P228" t="s">
        <v>241</v>
      </c>
      <c r="Q228">
        <v>509288074</v>
      </c>
      <c r="R228" s="11">
        <v>46108.417361111111</v>
      </c>
    </row>
    <row r="229" spans="1:18" x14ac:dyDescent="0.25">
      <c r="A229">
        <v>191</v>
      </c>
      <c r="B229" s="5">
        <v>46108</v>
      </c>
      <c r="C229" t="s">
        <v>51</v>
      </c>
      <c r="D229" t="s">
        <v>116</v>
      </c>
      <c r="E229" t="s">
        <v>53</v>
      </c>
      <c r="F229">
        <v>1</v>
      </c>
      <c r="G229">
        <v>10</v>
      </c>
      <c r="H229">
        <v>0</v>
      </c>
      <c r="I229">
        <v>0</v>
      </c>
      <c r="J229">
        <v>0</v>
      </c>
      <c r="K229" t="s">
        <v>14</v>
      </c>
      <c r="L229" t="s">
        <v>241</v>
      </c>
      <c r="M229" t="s">
        <v>241</v>
      </c>
      <c r="N229" t="s">
        <v>232</v>
      </c>
      <c r="O229" t="s">
        <v>241</v>
      </c>
      <c r="P229" t="s">
        <v>241</v>
      </c>
      <c r="Q229">
        <v>565265112</v>
      </c>
      <c r="R229" s="11">
        <v>46108.617361111108</v>
      </c>
    </row>
    <row r="230" spans="1:18" x14ac:dyDescent="0.25">
      <c r="A230">
        <v>192</v>
      </c>
      <c r="B230" s="5">
        <v>46108</v>
      </c>
      <c r="C230" t="s">
        <v>51</v>
      </c>
      <c r="D230" t="s">
        <v>418</v>
      </c>
      <c r="E230" t="s">
        <v>241</v>
      </c>
      <c r="F230" t="s">
        <v>241</v>
      </c>
      <c r="G230">
        <v>0</v>
      </c>
      <c r="H230">
        <v>0</v>
      </c>
      <c r="I230">
        <v>0</v>
      </c>
      <c r="J230">
        <v>3</v>
      </c>
      <c r="K230" t="s">
        <v>215</v>
      </c>
      <c r="L230" t="s">
        <v>241</v>
      </c>
      <c r="M230" t="s">
        <v>241</v>
      </c>
      <c r="N230" t="s">
        <v>216</v>
      </c>
      <c r="O230" t="s">
        <v>241</v>
      </c>
      <c r="P230" t="s">
        <v>241</v>
      </c>
      <c r="Q230">
        <v>553285621</v>
      </c>
      <c r="R230" s="11">
        <v>46108.779861111114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2026-03-28T11:43:57Z</dcterms:modified>
</cp:coreProperties>
</file>