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28dbb3f54bde61d/Documents/AMC/PPM App final version/"/>
    </mc:Choice>
  </mc:AlternateContent>
  <xr:revisionPtr revIDLastSave="66" documentId="11_CAC5AE23FA532E0C17336D9FB7EDAF85D093B3F8" xr6:coauthVersionLast="47" xr6:coauthVersionMax="47" xr10:uidLastSave="{C3BE876F-59C7-433E-BA90-8C9F66CF275B}"/>
  <bookViews>
    <workbookView xWindow="-120" yWindow="-120" windowWidth="29040" windowHeight="15720" activeTab="2" xr2:uid="{00000000-000D-0000-FFFF-FFFF00000000}"/>
  </bookViews>
  <sheets>
    <sheet name="Project Planning Updated" sheetId="1" r:id="rId1"/>
    <sheet name="Team" sheetId="2" r:id="rId2"/>
    <sheet name="users" sheetId="3" r:id="rId3"/>
    <sheet name="Inputs" sheetId="4" r:id="rId4"/>
  </sheets>
  <definedNames>
    <definedName name="_xlnm._FilterDatabase" localSheetId="0" hidden="1">'Project Planning Updated'!$A$1:$Z$72</definedName>
    <definedName name="_xlnm._FilterDatabase" localSheetId="1" hidden="1">Team!$B$1:$I$16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3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O72" i="1"/>
  <c r="N72" i="1"/>
  <c r="I72" i="1"/>
  <c r="O71" i="1"/>
  <c r="N71" i="1"/>
  <c r="I71" i="1"/>
  <c r="O70" i="1"/>
  <c r="N70" i="1"/>
  <c r="I70" i="1"/>
  <c r="O69" i="1"/>
  <c r="N69" i="1"/>
  <c r="I69" i="1"/>
  <c r="O68" i="1"/>
  <c r="N68" i="1"/>
  <c r="I68" i="1"/>
  <c r="O67" i="1"/>
  <c r="N67" i="1"/>
  <c r="I67" i="1"/>
  <c r="O66" i="1"/>
  <c r="N66" i="1"/>
  <c r="I66" i="1"/>
  <c r="O65" i="1"/>
  <c r="N65" i="1"/>
  <c r="I65" i="1"/>
  <c r="O64" i="1"/>
  <c r="N64" i="1"/>
  <c r="I64" i="1"/>
  <c r="O63" i="1"/>
  <c r="N63" i="1"/>
  <c r="I63" i="1"/>
  <c r="O62" i="1"/>
  <c r="N62" i="1"/>
  <c r="I62" i="1"/>
  <c r="O61" i="1"/>
  <c r="N61" i="1"/>
  <c r="I61" i="1"/>
  <c r="O60" i="1"/>
  <c r="N60" i="1"/>
  <c r="I60" i="1"/>
  <c r="O59" i="1"/>
  <c r="N59" i="1"/>
  <c r="I59" i="1"/>
  <c r="O58" i="1"/>
  <c r="N58" i="1"/>
  <c r="I58" i="1"/>
  <c r="O57" i="1"/>
  <c r="N57" i="1"/>
  <c r="I57" i="1"/>
  <c r="O56" i="1"/>
  <c r="N56" i="1"/>
  <c r="I56" i="1"/>
  <c r="O55" i="1"/>
  <c r="N55" i="1"/>
  <c r="I55" i="1"/>
  <c r="O54" i="1"/>
  <c r="N54" i="1"/>
  <c r="I54" i="1"/>
  <c r="O53" i="1"/>
  <c r="N53" i="1"/>
  <c r="I53" i="1"/>
  <c r="O52" i="1"/>
  <c r="N52" i="1"/>
  <c r="I52" i="1"/>
  <c r="O51" i="1"/>
  <c r="N51" i="1"/>
  <c r="I51" i="1"/>
  <c r="O50" i="1"/>
  <c r="N50" i="1"/>
  <c r="I50" i="1"/>
  <c r="O49" i="1"/>
  <c r="N49" i="1"/>
  <c r="I49" i="1"/>
  <c r="O48" i="1"/>
  <c r="N48" i="1"/>
  <c r="I48" i="1"/>
  <c r="O47" i="1"/>
  <c r="N47" i="1"/>
  <c r="I47" i="1"/>
  <c r="O46" i="1"/>
  <c r="N46" i="1"/>
  <c r="I46" i="1"/>
  <c r="O45" i="1"/>
  <c r="N45" i="1"/>
  <c r="I45" i="1"/>
  <c r="O44" i="1"/>
  <c r="N44" i="1"/>
  <c r="I44" i="1"/>
  <c r="O43" i="1"/>
  <c r="N43" i="1"/>
  <c r="I43" i="1"/>
  <c r="O42" i="1"/>
  <c r="N42" i="1"/>
  <c r="I42" i="1"/>
  <c r="O41" i="1"/>
  <c r="N41" i="1"/>
  <c r="I41" i="1"/>
  <c r="O40" i="1"/>
  <c r="N40" i="1"/>
  <c r="I40" i="1"/>
  <c r="O39" i="1"/>
  <c r="N39" i="1"/>
  <c r="I39" i="1"/>
  <c r="O38" i="1"/>
  <c r="N38" i="1"/>
  <c r="I38" i="1"/>
  <c r="O37" i="1"/>
  <c r="N37" i="1"/>
  <c r="I37" i="1"/>
  <c r="O36" i="1"/>
  <c r="N36" i="1"/>
  <c r="I36" i="1"/>
  <c r="O35" i="1"/>
  <c r="N35" i="1"/>
  <c r="I35" i="1"/>
  <c r="O34" i="1"/>
  <c r="N34" i="1"/>
  <c r="I34" i="1"/>
  <c r="O33" i="1"/>
  <c r="N33" i="1"/>
  <c r="I33" i="1"/>
  <c r="O32" i="1"/>
  <c r="N32" i="1"/>
  <c r="I32" i="1"/>
  <c r="O31" i="1"/>
  <c r="N31" i="1"/>
  <c r="I31" i="1"/>
  <c r="O30" i="1"/>
  <c r="N30" i="1"/>
  <c r="I30" i="1"/>
  <c r="O29" i="1"/>
  <c r="N29" i="1"/>
  <c r="I29" i="1"/>
  <c r="O28" i="1"/>
  <c r="N28" i="1"/>
  <c r="I28" i="1"/>
  <c r="O27" i="1"/>
  <c r="N27" i="1"/>
  <c r="I27" i="1"/>
  <c r="O26" i="1"/>
  <c r="N26" i="1"/>
  <c r="I26" i="1"/>
  <c r="O25" i="1"/>
  <c r="N25" i="1"/>
  <c r="I25" i="1"/>
  <c r="O24" i="1"/>
  <c r="N24" i="1"/>
  <c r="I24" i="1"/>
  <c r="O23" i="1"/>
  <c r="N23" i="1"/>
  <c r="I23" i="1"/>
  <c r="O22" i="1"/>
  <c r="N22" i="1"/>
  <c r="I22" i="1"/>
  <c r="O21" i="1"/>
  <c r="N21" i="1"/>
  <c r="I21" i="1"/>
  <c r="O20" i="1"/>
  <c r="N20" i="1"/>
  <c r="I20" i="1"/>
  <c r="O19" i="1"/>
  <c r="N19" i="1"/>
  <c r="I19" i="1"/>
  <c r="O18" i="1"/>
  <c r="N18" i="1"/>
  <c r="I18" i="1"/>
  <c r="O17" i="1"/>
  <c r="N17" i="1"/>
  <c r="I17" i="1"/>
  <c r="O16" i="1"/>
  <c r="N16" i="1"/>
  <c r="I16" i="1"/>
  <c r="O15" i="1"/>
  <c r="N15" i="1"/>
  <c r="I15" i="1"/>
  <c r="O14" i="1"/>
  <c r="N14" i="1"/>
  <c r="I14" i="1"/>
  <c r="O13" i="1"/>
  <c r="N13" i="1"/>
  <c r="I13" i="1"/>
  <c r="O12" i="1"/>
  <c r="N12" i="1"/>
  <c r="I12" i="1"/>
  <c r="O11" i="1"/>
  <c r="N11" i="1"/>
  <c r="I11" i="1"/>
  <c r="O10" i="1"/>
  <c r="N10" i="1"/>
  <c r="I10" i="1"/>
  <c r="O9" i="1"/>
  <c r="N9" i="1"/>
  <c r="I9" i="1"/>
  <c r="O8" i="1"/>
  <c r="N8" i="1"/>
  <c r="I8" i="1"/>
  <c r="O7" i="1"/>
  <c r="N7" i="1"/>
  <c r="I7" i="1"/>
  <c r="O6" i="1"/>
  <c r="N6" i="1"/>
  <c r="I6" i="1"/>
  <c r="O5" i="1"/>
  <c r="N5" i="1"/>
  <c r="I5" i="1"/>
  <c r="O4" i="1"/>
  <c r="N4" i="1"/>
  <c r="I4" i="1"/>
  <c r="O3" i="1"/>
  <c r="N3" i="1"/>
  <c r="I3" i="1"/>
  <c r="Z2" i="1"/>
  <c r="O2" i="1"/>
  <c r="N2" i="1"/>
  <c r="I2" i="1"/>
</calcChain>
</file>

<file path=xl/sharedStrings.xml><?xml version="1.0" encoding="utf-8"?>
<sst xmlns="http://schemas.openxmlformats.org/spreadsheetml/2006/main" count="1048" uniqueCount="341">
  <si>
    <t>phone</t>
  </si>
  <si>
    <t>name</t>
  </si>
  <si>
    <t>role</t>
  </si>
  <si>
    <t>jakir</t>
  </si>
  <si>
    <t>admin</t>
  </si>
  <si>
    <t>Siva</t>
  </si>
  <si>
    <t>Samer</t>
  </si>
  <si>
    <t>Sobin</t>
  </si>
  <si>
    <t>jalil</t>
  </si>
  <si>
    <t>inamul</t>
  </si>
  <si>
    <t xml:space="preserve">PPM </t>
  </si>
  <si>
    <t>Ravi Yadav</t>
  </si>
  <si>
    <t>Rajeeb Thakur</t>
  </si>
  <si>
    <t>Ansari</t>
  </si>
  <si>
    <t>Daryl</t>
  </si>
  <si>
    <t>Hussain</t>
  </si>
  <si>
    <t>Jawthat</t>
  </si>
  <si>
    <t xml:space="preserve">Mahtab </t>
  </si>
  <si>
    <t>waqas</t>
  </si>
  <si>
    <t>‎566016939</t>
  </si>
  <si>
    <t>Asif</t>
  </si>
  <si>
    <t>Dhavooth</t>
  </si>
  <si>
    <t>Afroz</t>
  </si>
  <si>
    <t>Tokir</t>
  </si>
  <si>
    <t>S.No</t>
  </si>
  <si>
    <t>Project Name</t>
  </si>
  <si>
    <t>Project Owner</t>
  </si>
  <si>
    <t>AMC Reference</t>
  </si>
  <si>
    <t>Emirate</t>
  </si>
  <si>
    <t>Renew date</t>
  </si>
  <si>
    <t>No. of PPMs</t>
  </si>
  <si>
    <t>Total PPM duration</t>
  </si>
  <si>
    <t>Contract Duration in Month</t>
  </si>
  <si>
    <t>Days in Duration per PPM</t>
  </si>
  <si>
    <t>Stage</t>
  </si>
  <si>
    <t>PPM Date</t>
  </si>
  <si>
    <t>PPM #</t>
  </si>
  <si>
    <t>Year</t>
  </si>
  <si>
    <t>Month</t>
  </si>
  <si>
    <t>duplicate_count_by_project</t>
  </si>
  <si>
    <t>Coverage</t>
  </si>
  <si>
    <t>Property type</t>
  </si>
  <si>
    <t>Brand</t>
  </si>
  <si>
    <t>AC types</t>
  </si>
  <si>
    <t>Indoors Qty</t>
  </si>
  <si>
    <t>VRF OD Qty</t>
  </si>
  <si>
    <t>DX Outdoor Qty</t>
  </si>
  <si>
    <t>AHU Qty</t>
  </si>
  <si>
    <t>AMC duration months</t>
  </si>
  <si>
    <t>Total asset Qty</t>
  </si>
  <si>
    <t>zayed educational complex-al Mizhar - 01/08/2024)</t>
  </si>
  <si>
    <t>Sobin Sunny</t>
  </si>
  <si>
    <t>AMC11109</t>
  </si>
  <si>
    <t>Dubai</t>
  </si>
  <si>
    <t>7/31/2026</t>
  </si>
  <si>
    <t>2nd PPM done</t>
  </si>
  <si>
    <t>PPM;Labor</t>
  </si>
  <si>
    <t xml:space="preserve"> </t>
  </si>
  <si>
    <t>Samsung</t>
  </si>
  <si>
    <t>VRF;AHU;RAC;DX</t>
  </si>
  <si>
    <t>Education</t>
  </si>
  <si>
    <t>7/31/2025</t>
  </si>
  <si>
    <t>Completed</t>
  </si>
  <si>
    <t>PPM;Labor;Parts</t>
  </si>
  <si>
    <t>Residential building</t>
  </si>
  <si>
    <t>VRF;AHU</t>
  </si>
  <si>
    <t>Expo Idama Connect Center Conference 01/06/2024</t>
  </si>
  <si>
    <t>AMC11157</t>
  </si>
  <si>
    <t>06/01/2027</t>
  </si>
  <si>
    <t>3rd PPM done</t>
  </si>
  <si>
    <t>Government</t>
  </si>
  <si>
    <t>VRF</t>
  </si>
  <si>
    <t>Belgravia 3 - 01/01/2024)</t>
  </si>
  <si>
    <t>AMC11162</t>
  </si>
  <si>
    <t>12/31/2026</t>
  </si>
  <si>
    <t>Welcome Email/WhatsApp sent</t>
  </si>
  <si>
    <t>3/31/2025</t>
  </si>
  <si>
    <t>Cancelled</t>
  </si>
  <si>
    <t>Labor camp</t>
  </si>
  <si>
    <t>JALIL AHAMED</t>
  </si>
  <si>
    <t>Abu Dhabi</t>
  </si>
  <si>
    <t>5/26/2026</t>
  </si>
  <si>
    <t>Unknown</t>
  </si>
  <si>
    <t>12/31/2027</t>
  </si>
  <si>
    <t>LG</t>
  </si>
  <si>
    <t>Luma 21 - 01/01/2024)</t>
  </si>
  <si>
    <t>AMC11135</t>
  </si>
  <si>
    <t>1st PPM ongoing</t>
  </si>
  <si>
    <t>Blue Bay - Full circle Labour Camp - 15/05/2024)</t>
  </si>
  <si>
    <t>Siva V</t>
  </si>
  <si>
    <t>AMC11136</t>
  </si>
  <si>
    <t>5/14/2027</t>
  </si>
  <si>
    <t>4/13/2026</t>
  </si>
  <si>
    <t>Single villa</t>
  </si>
  <si>
    <t>Commercial building</t>
  </si>
  <si>
    <t>O'General</t>
  </si>
  <si>
    <t>3/31/2026</t>
  </si>
  <si>
    <t>Healthcare</t>
  </si>
  <si>
    <t>09/02/2025</t>
  </si>
  <si>
    <t>9/30/2027</t>
  </si>
  <si>
    <t>1st PPM done</t>
  </si>
  <si>
    <t>PPM;Labor;Computer insp.</t>
  </si>
  <si>
    <t>Retails &amp; shops</t>
  </si>
  <si>
    <t>VRF;DX;AHU</t>
  </si>
  <si>
    <t>1/17/2026</t>
  </si>
  <si>
    <t>1/31/2026</t>
  </si>
  <si>
    <t>01/09/2026</t>
  </si>
  <si>
    <t>PPMs completed</t>
  </si>
  <si>
    <t>1/16/2026</t>
  </si>
  <si>
    <t>VRF;AHU;RAC</t>
  </si>
  <si>
    <t>1/19/2026</t>
  </si>
  <si>
    <t>1/29/2026</t>
  </si>
  <si>
    <t>Masdar City - 01/02/2025</t>
  </si>
  <si>
    <t>AMC11329</t>
  </si>
  <si>
    <t>Sharjah</t>
  </si>
  <si>
    <t>Yas Acres Golf Club &amp; Country Club - Sole Proprietorship LLC - 01/04/2025</t>
  </si>
  <si>
    <t>AMC11303</t>
  </si>
  <si>
    <t>Jotun accomodation al quoz - 01/04/2024</t>
  </si>
  <si>
    <t>AMC11314</t>
  </si>
  <si>
    <t>Ace Base - Additional units - SBL,I-CAD-01/04/2025</t>
  </si>
  <si>
    <t>AMC11344</t>
  </si>
  <si>
    <t>Mr. George Makhoul Villa- 17/04/2025</t>
  </si>
  <si>
    <t>AMC11316</t>
  </si>
  <si>
    <t>Mr. Edwin Haver Villa 210 Murooj- 19/05/2025</t>
  </si>
  <si>
    <t>AMC11334</t>
  </si>
  <si>
    <t>RAK</t>
  </si>
  <si>
    <t>Al sultan building, Al qusais - 01/08/2025</t>
  </si>
  <si>
    <t>AMC11338</t>
  </si>
  <si>
    <t>Al-Ain</t>
  </si>
  <si>
    <t>Gardenia Living By Safe- Arjan - 01/06/2025</t>
  </si>
  <si>
    <t>AMC11383</t>
  </si>
  <si>
    <t>AMC11349</t>
  </si>
  <si>
    <t>Baker Hughes SPC Facility - 01/06/2025</t>
  </si>
  <si>
    <t>AMC11352</t>
  </si>
  <si>
    <t>Mr. Mohammad Al Olama Nad Al Sheba V20- 04/07/2025</t>
  </si>
  <si>
    <t>AMC11364</t>
  </si>
  <si>
    <t>Mr. Kareem Rabieh Villa 100 Parkside 3- 28/06/2025</t>
  </si>
  <si>
    <t>AMC11359</t>
  </si>
  <si>
    <t>Mr. Mohammed Benomar Murooj TH323- 01/07/2025</t>
  </si>
  <si>
    <t>AMC11360</t>
  </si>
  <si>
    <t>Mr. Hassan Belgravia BG 01 - 01/07/2025</t>
  </si>
  <si>
    <t>AMC11363</t>
  </si>
  <si>
    <t>Mr. Toufiqh Khan Murooj V548- 01/07/2025</t>
  </si>
  <si>
    <t>AMC11362</t>
  </si>
  <si>
    <t>Avtar Mamotra-Arabian Ranches-3-Villa-592- 01/07/2025</t>
  </si>
  <si>
    <t>AMC11365</t>
  </si>
  <si>
    <t>Mr. Juha Samuli Murooj V165- 08/07/2025</t>
  </si>
  <si>
    <t>AMC11367</t>
  </si>
  <si>
    <t>Mr. Joren Huijten Camelia 1 Villa 199- 09/07/2025</t>
  </si>
  <si>
    <t>AMC11370</t>
  </si>
  <si>
    <t>White teak Company al barsha- 14/07/2025</t>
  </si>
  <si>
    <t>AMC11373</t>
  </si>
  <si>
    <t>Mr. Wissam Elassaad Murooj V507- 22/07/2025</t>
  </si>
  <si>
    <t>AMC11380</t>
  </si>
  <si>
    <t>Dr. Abo Bakr al Khair Astoria JVC A2- 22/07/2025</t>
  </si>
  <si>
    <t>AMC11379</t>
  </si>
  <si>
    <t>Mr. Imran Sayyed Murooj V595- 21/07/2025</t>
  </si>
  <si>
    <t>AMC11382</t>
  </si>
  <si>
    <t>AMC11385</t>
  </si>
  <si>
    <t>Mr. Lalit Motwani Murooj TH277- 29/07/2025</t>
  </si>
  <si>
    <t>AMC11381</t>
  </si>
  <si>
    <t>***Mrs. Sabina Shelton AR3 Joy V774- 24/07/2025</t>
  </si>
  <si>
    <t>AMC11384</t>
  </si>
  <si>
    <t>***Mr. Mohammad El- Lakkis Mag V18 Furjan- 28/07/2025</t>
  </si>
  <si>
    <t>AMC11387</t>
  </si>
  <si>
    <t>PGM Initiatives Warehouse - 23/07/2025</t>
  </si>
  <si>
    <t>AMC11386</t>
  </si>
  <si>
    <t>***Ms. Namrata Kaul Murooj TH332- 31/07/2025</t>
  </si>
  <si>
    <t>AMC11389</t>
  </si>
  <si>
    <t>Hala Equipment Trading LLC, DIC - 01/08/2025</t>
  </si>
  <si>
    <t>AMC11390</t>
  </si>
  <si>
    <t>2XL Showroom Al barsha - 29/07/2024</t>
  </si>
  <si>
    <t>AMC11394</t>
  </si>
  <si>
    <t>Al Ain - FSFM Ladies Accommodation - 03/08/2025</t>
  </si>
  <si>
    <t>AMC11396</t>
  </si>
  <si>
    <t>Mr. Ali Zahid Murooj Th272- 29/08/2025</t>
  </si>
  <si>
    <t>AMC11415</t>
  </si>
  <si>
    <t>Mr. Marcin Arabian Ranches 2, Camelia 2, Villa 21- 10/09/2025</t>
  </si>
  <si>
    <t>AMC11406</t>
  </si>
  <si>
    <t>Antoine-Fairway-Villa-18- 01/09/2025</t>
  </si>
  <si>
    <t>AMC11417</t>
  </si>
  <si>
    <t>Ms. Mariam Shahid AR3 Joy 531- 29/09/2025</t>
  </si>
  <si>
    <t>AMC11437</t>
  </si>
  <si>
    <t>NBTC Head Office - Abudhabi - 05/09/2025</t>
  </si>
  <si>
    <t>AMC11435</t>
  </si>
  <si>
    <t>West field Nursery - 25/07/2025</t>
  </si>
  <si>
    <t>AMC11440</t>
  </si>
  <si>
    <t>Mr. Ali Matar Sidra1 V31- 12/11/2025</t>
  </si>
  <si>
    <t>AMC11455</t>
  </si>
  <si>
    <t>Mr-Khalil-Sidra 2 Villa 298- 02/10/2025</t>
  </si>
  <si>
    <t>AMC11452</t>
  </si>
  <si>
    <t>Luma 22 3 Bed - 125 (East Block) - 01/11/2025</t>
  </si>
  <si>
    <t>AMC11464</t>
  </si>
  <si>
    <t>DAEP - 01/10/2025</t>
  </si>
  <si>
    <t>AMC11475</t>
  </si>
  <si>
    <t>Blu Chocolate Sharjah - 01/11/2025</t>
  </si>
  <si>
    <t>AMC11470</t>
  </si>
  <si>
    <t>***Mr. Malek Karali Murooj V513- 12/11/2025</t>
  </si>
  <si>
    <t>AMC11477</t>
  </si>
  <si>
    <t>Aroma camp C2 - 07/11/2025</t>
  </si>
  <si>
    <t>AMC11474</t>
  </si>
  <si>
    <t>AMC11469</t>
  </si>
  <si>
    <t>***Ms. Gagandeep &amp; Mr. Ashish AR3 Joy V523- 15/11/2025</t>
  </si>
  <si>
    <t>AMC11471</t>
  </si>
  <si>
    <t>***Mr. Gautam Singh Rathore Murooj V619- 05/11/2025</t>
  </si>
  <si>
    <t>AMC11467</t>
  </si>
  <si>
    <t>AMC11476</t>
  </si>
  <si>
    <t>Praveen Narayan Nair-Murooj Al Furjan-Villa-584- 13/11/2025</t>
  </si>
  <si>
    <t>AMC11478</t>
  </si>
  <si>
    <t>***Ms. Daneyeh Shafei Murooj V212- 13/11/2025</t>
  </si>
  <si>
    <t>AMC11479</t>
  </si>
  <si>
    <t>Mr. Hemant Kesana Luma 22 F216- 17/11/2025</t>
  </si>
  <si>
    <t>AMC11480</t>
  </si>
  <si>
    <t>SLB ACE Base Icad - 15/10/2025</t>
  </si>
  <si>
    <t>AMC11484</t>
  </si>
  <si>
    <t>***Ms. SoJeong AR3 Spring V20- 21/11/2025</t>
  </si>
  <si>
    <t>AMC11483</t>
  </si>
  <si>
    <t>Mr. Mustafa Alizzi Murooj V248- 24/11/2025</t>
  </si>
  <si>
    <t>AMC11486</t>
  </si>
  <si>
    <t>***Mr. Mazen El Moghazy Club V23- 25/11/2025</t>
  </si>
  <si>
    <t>AMC11488</t>
  </si>
  <si>
    <t>Mr. Sergey Vasilyev Luma 22 F240- 28/11/2025</t>
  </si>
  <si>
    <t>AMC11490</t>
  </si>
  <si>
    <t>Al Ain Zapia Nature reserve Building &amp; Food and Beverages Building - 01/11/2025</t>
  </si>
  <si>
    <t>AMC11491</t>
  </si>
  <si>
    <t>Miza Warehouse - Zayed Port - 01/12/2025</t>
  </si>
  <si>
    <t>AMC11495</t>
  </si>
  <si>
    <t>Al Waheda Villa - Tariq- 11/11/2025</t>
  </si>
  <si>
    <t>AMC11500</t>
  </si>
  <si>
    <t>Expo city Dubai Pavilions - 01/01/2026</t>
  </si>
  <si>
    <t>AMC11506</t>
  </si>
  <si>
    <t>FSFM Properties - 01/01/2026</t>
  </si>
  <si>
    <t>AMC11505</t>
  </si>
  <si>
    <t>Butterfly Building - 01/01/2026</t>
  </si>
  <si>
    <t>AMC11513</t>
  </si>
  <si>
    <t>Beach palace - 01/01/2026</t>
  </si>
  <si>
    <t>AMC11514</t>
  </si>
  <si>
    <t>Mr. John Alexander DSO D36- 30/01/2026</t>
  </si>
  <si>
    <t>AMC11519</t>
  </si>
  <si>
    <t>Mr. Mesut Takseen Villa Sidra 2 V62- 12/02/2026</t>
  </si>
  <si>
    <t>AMC11522</t>
  </si>
  <si>
    <t>Technician Name</t>
  </si>
  <si>
    <t>City</t>
  </si>
  <si>
    <t>Driver</t>
  </si>
  <si>
    <t>Skill Level</t>
  </si>
  <si>
    <t>New Level</t>
  </si>
  <si>
    <t>Category</t>
  </si>
  <si>
    <t>Annual leave</t>
  </si>
  <si>
    <t>Remark</t>
  </si>
  <si>
    <t>Abhimanue</t>
  </si>
  <si>
    <t>N</t>
  </si>
  <si>
    <t>L2</t>
  </si>
  <si>
    <t>PPM</t>
  </si>
  <si>
    <t>Y</t>
  </si>
  <si>
    <t>L0</t>
  </si>
  <si>
    <t>L1</t>
  </si>
  <si>
    <t>Hussnain</t>
  </si>
  <si>
    <t>Imran</t>
  </si>
  <si>
    <t>Irfan</t>
  </si>
  <si>
    <t>Ismail</t>
  </si>
  <si>
    <t>Mahtab</t>
  </si>
  <si>
    <t>L3</t>
  </si>
  <si>
    <t>Moosa</t>
  </si>
  <si>
    <t>Rajeeb</t>
  </si>
  <si>
    <t>SHAZAD</t>
  </si>
  <si>
    <t>Thanis</t>
  </si>
  <si>
    <t>Yadav</t>
  </si>
  <si>
    <t>Zilani</t>
  </si>
  <si>
    <t>L4</t>
  </si>
  <si>
    <t>Jayaprasad</t>
  </si>
  <si>
    <t>Backup</t>
  </si>
  <si>
    <t>Sitaram</t>
  </si>
  <si>
    <t>Date</t>
  </si>
  <si>
    <t>Project Name (Backend)</t>
  </si>
  <si>
    <t>Indoors Completed</t>
  </si>
  <si>
    <t>VRF OD Completed</t>
  </si>
  <si>
    <t>DX Outdoor Completed</t>
  </si>
  <si>
    <t>AHU Completed</t>
  </si>
  <si>
    <t>Technician name 1</t>
  </si>
  <si>
    <t>Technician name 2</t>
  </si>
  <si>
    <t>Technician name 3</t>
  </si>
  <si>
    <t>Helper name 1</t>
  </si>
  <si>
    <t>Helper name 2</t>
  </si>
  <si>
    <t>Helper name 3</t>
  </si>
  <si>
    <t>Submitted By (Phone)</t>
  </si>
  <si>
    <t>Submitted At</t>
  </si>
  <si>
    <t>2025-10-24 00:00:00</t>
  </si>
  <si>
    <t>2026-02-25 13:44:13</t>
  </si>
  <si>
    <t>2026-02-25 13:44:25</t>
  </si>
  <si>
    <t>2025-09-27 00:00:00</t>
  </si>
  <si>
    <t>2026-02-25 13:46:02</t>
  </si>
  <si>
    <t>2026-02-25 13:46:31</t>
  </si>
  <si>
    <t>3</t>
  </si>
  <si>
    <t>2026-01-21 00:00:00</t>
  </si>
  <si>
    <t>564227780</t>
  </si>
  <si>
    <t>2026-02-25 14:02:59</t>
  </si>
  <si>
    <t>Samim</t>
  </si>
  <si>
    <t>abhimanue</t>
  </si>
  <si>
    <t>jawgat</t>
  </si>
  <si>
    <t>Ranjit Biswarma</t>
  </si>
  <si>
    <t>Jumeirah Bay LV 08 -19 Jan 2027</t>
  </si>
  <si>
    <t>SFL Canusa AUH- 01/01/2026</t>
  </si>
  <si>
    <t>1244154 Highland Villa. - 01/01/2026</t>
  </si>
  <si>
    <t>DEEPA KHANNA MUROOJ TH466</t>
  </si>
  <si>
    <t>faisal shora sidra 2 V184</t>
  </si>
  <si>
    <t>EMIRATES HILLS VILLA R40</t>
  </si>
  <si>
    <t>JOHN BRITTON TH107</t>
  </si>
  <si>
    <t>AMC11515</t>
  </si>
  <si>
    <t>AMC11533</t>
  </si>
  <si>
    <t>AMC11537</t>
  </si>
  <si>
    <t>Abu Dhabi , Al-Ain</t>
  </si>
  <si>
    <t>Dubai, Sharjah</t>
  </si>
  <si>
    <t xml:space="preserve">L0 </t>
  </si>
  <si>
    <t xml:space="preserve">Ranjit Biswakarma </t>
  </si>
  <si>
    <t>Jayaprasath</t>
  </si>
  <si>
    <t>Helper</t>
  </si>
  <si>
    <t>Jawthath</t>
  </si>
  <si>
    <t>Siraf</t>
  </si>
  <si>
    <t>Manjeet</t>
  </si>
  <si>
    <t>Ranjit</t>
  </si>
  <si>
    <t>Akbar</t>
  </si>
  <si>
    <t>Arjun</t>
  </si>
  <si>
    <t>Arvind</t>
  </si>
  <si>
    <t>Azzarudhin</t>
  </si>
  <si>
    <t>Danish</t>
  </si>
  <si>
    <t>Geayash</t>
  </si>
  <si>
    <t>habib</t>
  </si>
  <si>
    <t>Hazrat</t>
  </si>
  <si>
    <t>Majit</t>
  </si>
  <si>
    <t>Musharaf</t>
  </si>
  <si>
    <t xml:space="preserve">Saddam </t>
  </si>
  <si>
    <t>Shah Faisal</t>
  </si>
  <si>
    <t>Shazib</t>
  </si>
  <si>
    <t>Umer</t>
  </si>
  <si>
    <t>Waqas</t>
  </si>
  <si>
    <t xml:space="preserve">Sajid </t>
  </si>
  <si>
    <t>Thovatoo</t>
  </si>
  <si>
    <t>Lifco Sharjah -10/07/2025</t>
  </si>
  <si>
    <t>AMC11378</t>
  </si>
  <si>
    <t>Mar</t>
  </si>
  <si>
    <t>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</si>
</sst>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2" fillId="0" borderId="2" xfId="0" applyFont="1" applyBorder="1" applyAlignment="1">
      <alignment horizontal="center" vertical="top"/>
    </xf>
    <xf numFmtId="164" fontId="0" fillId="0" borderId="3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Border="1" applyAlignment="1">
      <alignment horizontal="left"/>
    </xf>
    <xf numFmtId="164" fontId="0" fillId="0" borderId="4" xfId="0" applyNumberFormat="1" applyBorder="1" applyAlignment="1">
      <alignment vertical="top" wrapText="1"/>
    </xf>
    <xf numFmtId="0" fontId="0" fillId="0" borderId="0" xfId="0" applyBorder="1"/>
    <xf numFmtId="0" fontId="3" fillId="3" borderId="2" xfId="1" applyFill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164" fontId="3" fillId="0" borderId="3" xfId="1" applyNumberFormat="1" applyBorder="1" applyAlignment="1">
      <alignment vertical="top" wrapText="1"/>
    </xf>
    <xf numFmtId="164" fontId="3" fillId="3" borderId="3" xfId="1" applyNumberFormat="1" applyFill="1" applyBorder="1" applyAlignment="1">
      <alignment vertical="top" wrapText="1"/>
    </xf>
    <xf numFmtId="164" fontId="3" fillId="0" borderId="4" xfId="1" applyNumberFormat="1" applyBorder="1" applyAlignment="1">
      <alignment vertical="top" wrapText="1"/>
    </xf>
    <xf numFmtId="0" fontId="3" fillId="4" borderId="2" xfId="1" applyFill="1" applyBorder="1" applyAlignment="1">
      <alignment horizontal="center" vertical="center"/>
    </xf>
    <xf numFmtId="0" fontId="0" fillId="0" borderId="5" xfId="0" applyFill="1" applyBorder="1" applyAlignment="1">
      <alignment vertical="top" wrapText="1"/>
    </xf>
  </cellXfs>
  <cellStyles count="2">
    <cellStyle name="Normal" xfId="0" builtinId="0"/>
    <cellStyle name="Normal 2" xfId="1" xr:uid="{F18F3C03-5644-4A25-9F1D-61C4F6C009CC}"/>
  </cellStyles>
  <dxfs count="4">
    <dxf>
      <numFmt numFmtId="164" formatCode="yyyy\-mm\-dd"/>
      <alignment horizontal="general" vertical="top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841A2-8693-45C3-9597-9D03C5C8F49F}" name="Table1" displayName="Table1" ref="B1:J26" totalsRowShown="0">
  <autoFilter ref="B1:J26" xr:uid="{4F4841A2-8693-45C3-9597-9D03C5C8F49F}"/>
  <tableColumns count="9">
    <tableColumn id="1" xr3:uid="{ACCBFABC-F80F-484E-969C-CBB87E1161BB}" name="Technician Name"/>
    <tableColumn id="2" xr3:uid="{8ABFFE7F-51C2-4B2D-BAA9-8675DA857D60}" name="City"/>
    <tableColumn id="3" xr3:uid="{0EC948ED-8149-447F-8339-7656034EDC8D}" name="Driver"/>
    <tableColumn id="4" xr3:uid="{9261D1F2-00AB-4B3C-9B3B-F37AF00323A2}" name="Skill Level"/>
    <tableColumn id="5" xr3:uid="{C4923CDD-7696-4BA4-A6C8-61F36E394978}" name="New Level"/>
    <tableColumn id="6" xr3:uid="{3E7C7BEB-760A-48D3-A79E-13999FB59CFF}" name="Category" dataDxfId="3"/>
    <tableColumn id="7" xr3:uid="{F70932DE-901A-4C53-BCEB-1026AC9D02A2}" name="Annual leave"/>
    <tableColumn id="8" xr3:uid="{5AD73D7F-D94F-49F8-9AB4-E679687F11AE}" name="Project Owner" dataDxfId="2"/>
    <tableColumn id="9" xr3:uid="{D9DA01A5-3502-48BA-BDBE-AED4753D3601}" name="Rem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F1069B-F0A8-4D84-81FE-E4558AA073D1}" name="Table2" displayName="Table2" ref="A1:C56" totalsRowShown="0">
  <autoFilter ref="A1:C56" xr:uid="{EFF1069B-F0A8-4D84-81FE-E4558AA073D1}"/>
  <tableColumns count="3">
    <tableColumn id="1" xr3:uid="{6D595F33-AE4B-43C0-89E6-0EBFA6C69C1F}" name="phone" dataDxfId="1"/>
    <tableColumn id="2" xr3:uid="{D1C5B6C7-B7A7-4AF5-8A4B-FCA535AF4CCA}" name="name" dataDxfId="0"/>
    <tableColumn id="3" xr3:uid="{C601CD76-EF83-4396-A8D0-C2451BFD2578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73"/>
  <sheetViews>
    <sheetView zoomScale="98" zoomScaleNormal="98" workbookViewId="0">
      <pane xSplit="5" ySplit="1" topLeftCell="Q58" activePane="bottomRight" state="frozen"/>
      <selection pane="topRight" activeCell="F1" sqref="F1"/>
      <selection pane="bottomLeft" activeCell="A2" sqref="A2"/>
      <selection pane="bottomRight" activeCell="Z76" sqref="Z76"/>
    </sheetView>
  </sheetViews>
  <sheetFormatPr defaultRowHeight="15" x14ac:dyDescent="0.25"/>
  <cols>
    <col min="1" max="1" width="7.85546875" customWidth="1"/>
    <col min="2" max="2" width="74" bestFit="1" customWidth="1"/>
    <col min="3" max="3" width="13.85546875" bestFit="1" customWidth="1"/>
    <col min="4" max="4" width="15" bestFit="1" customWidth="1"/>
    <col min="5" max="5" width="10.140625" bestFit="1" customWidth="1"/>
    <col min="6" max="6" width="11.5703125" bestFit="1" customWidth="1"/>
    <col min="7" max="7" width="11.85546875" bestFit="1" customWidth="1"/>
    <col min="8" max="8" width="18.28515625" bestFit="1" customWidth="1"/>
    <col min="9" max="9" width="23.7109375" style="4" customWidth="1"/>
    <col min="10" max="10" width="18.28515625" style="4" customWidth="1"/>
    <col min="11" max="11" width="29.7109375" customWidth="1"/>
    <col min="12" max="12" width="18.28515625" style="5" bestFit="1" customWidth="1"/>
    <col min="13" max="13" width="6.5703125" bestFit="1" customWidth="1"/>
    <col min="14" max="14" width="7.140625" customWidth="1"/>
    <col min="15" max="15" width="7" bestFit="1" customWidth="1"/>
    <col min="16" max="16" width="22.7109375" customWidth="1"/>
    <col min="17" max="17" width="18" customWidth="1"/>
    <col min="18" max="18" width="19.5703125" bestFit="1" customWidth="1"/>
    <col min="19" max="19" width="9.85546875" bestFit="1" customWidth="1"/>
    <col min="20" max="20" width="18" bestFit="1" customWidth="1"/>
    <col min="21" max="21" width="11.28515625" bestFit="1" customWidth="1"/>
    <col min="22" max="22" width="11.140625" bestFit="1" customWidth="1"/>
    <col min="23" max="23" width="15" bestFit="1" customWidth="1"/>
    <col min="24" max="24" width="8.5703125" bestFit="1" customWidth="1"/>
    <col min="25" max="25" width="20.7109375" bestFit="1" customWidth="1"/>
    <col min="26" max="26" width="14.140625" bestFit="1" customWidth="1"/>
  </cols>
  <sheetData>
    <row r="1" spans="1:26" x14ac:dyDescent="0.25">
      <c r="A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2" t="s">
        <v>32</v>
      </c>
      <c r="J1" s="2" t="s">
        <v>33</v>
      </c>
      <c r="K1" s="1" t="s">
        <v>34</v>
      </c>
      <c r="L1" s="3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 hidden="1" x14ac:dyDescent="0.25">
      <c r="A2">
        <v>1</v>
      </c>
      <c r="B2" s="13" t="s">
        <v>66</v>
      </c>
      <c r="C2" t="s">
        <v>51</v>
      </c>
      <c r="D2" t="s">
        <v>67</v>
      </c>
      <c r="E2" s="13" t="s">
        <v>53</v>
      </c>
      <c r="F2" t="s">
        <v>54</v>
      </c>
      <c r="G2">
        <v>4</v>
      </c>
      <c r="H2">
        <v>40</v>
      </c>
      <c r="I2" s="4">
        <f t="shared" ref="I2:I65" si="0">Y2/G2</f>
        <v>3</v>
      </c>
      <c r="J2" s="4">
        <v>10</v>
      </c>
      <c r="K2" t="s">
        <v>55</v>
      </c>
      <c r="L2" s="5">
        <v>45954</v>
      </c>
      <c r="M2">
        <v>1</v>
      </c>
      <c r="N2" t="str">
        <f t="shared" ref="N2:N65" si="1">TEXT(L2,"YYYY")</f>
        <v>2025</v>
      </c>
      <c r="O2" t="str">
        <f t="shared" ref="O2:O65" si="2">TEXT(L2,"MMM")</f>
        <v>Oct</v>
      </c>
      <c r="P2">
        <v>4</v>
      </c>
      <c r="Q2" t="s">
        <v>56</v>
      </c>
      <c r="R2" t="s">
        <v>57</v>
      </c>
      <c r="S2" t="s">
        <v>58</v>
      </c>
      <c r="T2" t="s">
        <v>59</v>
      </c>
      <c r="U2" s="13">
        <v>35</v>
      </c>
      <c r="V2" s="13">
        <v>24</v>
      </c>
      <c r="W2" s="13">
        <v>0</v>
      </c>
      <c r="X2" s="13">
        <v>7</v>
      </c>
      <c r="Y2">
        <v>12</v>
      </c>
      <c r="Z2">
        <f t="shared" ref="Z2:Z65" si="3">SUM(U2:X2)</f>
        <v>66</v>
      </c>
    </row>
    <row r="3" spans="1:26" hidden="1" x14ac:dyDescent="0.25">
      <c r="A3">
        <v>2</v>
      </c>
      <c r="B3" s="13" t="s">
        <v>72</v>
      </c>
      <c r="C3" t="s">
        <v>51</v>
      </c>
      <c r="D3" t="s">
        <v>73</v>
      </c>
      <c r="E3" s="13" t="s">
        <v>53</v>
      </c>
      <c r="F3" t="s">
        <v>54</v>
      </c>
      <c r="G3">
        <v>4</v>
      </c>
      <c r="H3">
        <v>40</v>
      </c>
      <c r="I3" s="4">
        <f t="shared" si="0"/>
        <v>9</v>
      </c>
      <c r="J3" s="4">
        <v>4.5</v>
      </c>
      <c r="K3" t="s">
        <v>55</v>
      </c>
      <c r="L3" s="5">
        <v>46048</v>
      </c>
      <c r="M3">
        <v>2</v>
      </c>
      <c r="N3" t="str">
        <f t="shared" si="1"/>
        <v>2026</v>
      </c>
      <c r="O3" t="str">
        <f t="shared" si="2"/>
        <v>Jan</v>
      </c>
      <c r="P3">
        <v>4</v>
      </c>
      <c r="Q3" t="s">
        <v>56</v>
      </c>
      <c r="R3" t="s">
        <v>60</v>
      </c>
      <c r="S3" t="s">
        <v>58</v>
      </c>
      <c r="T3" t="s">
        <v>59</v>
      </c>
      <c r="U3" s="13">
        <v>49</v>
      </c>
      <c r="V3" s="13">
        <v>29</v>
      </c>
      <c r="W3" s="13">
        <v>0</v>
      </c>
      <c r="X3" s="13">
        <v>5</v>
      </c>
      <c r="Y3">
        <v>36</v>
      </c>
      <c r="Z3">
        <f t="shared" si="3"/>
        <v>83</v>
      </c>
    </row>
    <row r="4" spans="1:26" hidden="1" x14ac:dyDescent="0.25">
      <c r="A4">
        <v>3</v>
      </c>
      <c r="B4" s="13" t="s">
        <v>85</v>
      </c>
      <c r="C4" t="s">
        <v>51</v>
      </c>
      <c r="D4" t="s">
        <v>86</v>
      </c>
      <c r="E4" s="13" t="s">
        <v>53</v>
      </c>
      <c r="F4" t="s">
        <v>54</v>
      </c>
      <c r="G4">
        <v>4</v>
      </c>
      <c r="H4">
        <v>40</v>
      </c>
      <c r="I4" s="4">
        <f t="shared" si="0"/>
        <v>9</v>
      </c>
      <c r="J4" s="4">
        <v>6</v>
      </c>
      <c r="K4" t="s">
        <v>55</v>
      </c>
      <c r="L4" s="5">
        <v>46126</v>
      </c>
      <c r="M4">
        <v>3</v>
      </c>
      <c r="N4" t="str">
        <f t="shared" si="1"/>
        <v>2026</v>
      </c>
      <c r="O4" t="str">
        <f t="shared" si="2"/>
        <v>Apr</v>
      </c>
      <c r="P4">
        <v>4</v>
      </c>
      <c r="Q4" t="s">
        <v>56</v>
      </c>
      <c r="R4" t="s">
        <v>60</v>
      </c>
      <c r="S4" t="s">
        <v>58</v>
      </c>
      <c r="T4" t="s">
        <v>59</v>
      </c>
      <c r="U4" s="13">
        <v>60</v>
      </c>
      <c r="V4" s="13">
        <v>20</v>
      </c>
      <c r="W4" s="13">
        <v>0</v>
      </c>
      <c r="X4" s="13">
        <v>2</v>
      </c>
      <c r="Y4">
        <v>36</v>
      </c>
      <c r="Z4">
        <f t="shared" si="3"/>
        <v>82</v>
      </c>
    </row>
    <row r="5" spans="1:26" x14ac:dyDescent="0.25">
      <c r="A5">
        <v>4</v>
      </c>
      <c r="B5" s="13" t="s">
        <v>88</v>
      </c>
      <c r="C5" t="s">
        <v>89</v>
      </c>
      <c r="D5" t="s">
        <v>90</v>
      </c>
      <c r="E5" s="13" t="s">
        <v>53</v>
      </c>
      <c r="F5" t="s">
        <v>54</v>
      </c>
      <c r="G5">
        <v>4</v>
      </c>
      <c r="H5">
        <v>40</v>
      </c>
      <c r="I5" s="4">
        <f t="shared" si="0"/>
        <v>9</v>
      </c>
      <c r="J5" s="4">
        <v>29</v>
      </c>
      <c r="K5" t="s">
        <v>55</v>
      </c>
      <c r="L5" s="5">
        <v>46217</v>
      </c>
      <c r="M5">
        <v>4</v>
      </c>
      <c r="N5" t="str">
        <f t="shared" si="1"/>
        <v>2026</v>
      </c>
      <c r="O5" t="str">
        <f t="shared" si="2"/>
        <v>Jul</v>
      </c>
      <c r="P5">
        <v>4</v>
      </c>
      <c r="Q5" t="s">
        <v>56</v>
      </c>
      <c r="R5" t="s">
        <v>60</v>
      </c>
      <c r="S5" t="s">
        <v>58</v>
      </c>
      <c r="T5" t="s">
        <v>59</v>
      </c>
      <c r="U5" s="13">
        <v>487</v>
      </c>
      <c r="V5" s="13">
        <v>93</v>
      </c>
      <c r="W5" s="13">
        <v>0</v>
      </c>
      <c r="X5" s="13">
        <v>4</v>
      </c>
      <c r="Y5">
        <v>36</v>
      </c>
      <c r="Z5">
        <f t="shared" si="3"/>
        <v>584</v>
      </c>
    </row>
    <row r="6" spans="1:26" x14ac:dyDescent="0.25">
      <c r="A6" s="6">
        <v>5</v>
      </c>
      <c r="B6" s="13" t="s">
        <v>300</v>
      </c>
      <c r="C6" t="s">
        <v>89</v>
      </c>
      <c r="D6" t="s">
        <v>307</v>
      </c>
      <c r="E6" s="13" t="s">
        <v>53</v>
      </c>
      <c r="F6" t="s">
        <v>61</v>
      </c>
      <c r="G6">
        <v>3</v>
      </c>
      <c r="H6">
        <v>65</v>
      </c>
      <c r="I6" s="4">
        <f t="shared" si="0"/>
        <v>4</v>
      </c>
      <c r="J6" s="4">
        <v>3</v>
      </c>
      <c r="K6" t="s">
        <v>62</v>
      </c>
      <c r="L6" s="5">
        <v>45484</v>
      </c>
      <c r="M6">
        <v>1</v>
      </c>
      <c r="N6" t="str">
        <f t="shared" si="1"/>
        <v>2024</v>
      </c>
      <c r="O6" t="str">
        <f t="shared" si="2"/>
        <v>Jul</v>
      </c>
      <c r="P6">
        <v>3</v>
      </c>
      <c r="Q6" t="s">
        <v>63</v>
      </c>
      <c r="R6" t="s">
        <v>64</v>
      </c>
      <c r="S6" t="s">
        <v>58</v>
      </c>
      <c r="T6" t="s">
        <v>65</v>
      </c>
      <c r="U6" s="13">
        <v>32</v>
      </c>
      <c r="V6" s="13">
        <v>0</v>
      </c>
      <c r="W6" s="13">
        <v>0</v>
      </c>
      <c r="X6" s="13">
        <v>0</v>
      </c>
      <c r="Y6">
        <v>12</v>
      </c>
      <c r="Z6">
        <f t="shared" si="3"/>
        <v>32</v>
      </c>
    </row>
    <row r="7" spans="1:26" hidden="1" x14ac:dyDescent="0.25">
      <c r="A7" s="6">
        <v>6</v>
      </c>
      <c r="B7" s="13" t="s">
        <v>112</v>
      </c>
      <c r="C7" t="s">
        <v>79</v>
      </c>
      <c r="D7" t="s">
        <v>113</v>
      </c>
      <c r="E7" s="13" t="s">
        <v>80</v>
      </c>
      <c r="F7" t="s">
        <v>61</v>
      </c>
      <c r="G7">
        <v>3</v>
      </c>
      <c r="H7">
        <v>65</v>
      </c>
      <c r="I7" s="4">
        <f t="shared" si="0"/>
        <v>12</v>
      </c>
      <c r="J7" s="4">
        <v>8</v>
      </c>
      <c r="K7" t="s">
        <v>62</v>
      </c>
      <c r="L7" s="5">
        <v>45611</v>
      </c>
      <c r="M7">
        <v>2</v>
      </c>
      <c r="N7" t="str">
        <f t="shared" si="1"/>
        <v>2024</v>
      </c>
      <c r="O7" t="str">
        <f t="shared" si="2"/>
        <v>Nov</v>
      </c>
      <c r="P7">
        <v>3</v>
      </c>
      <c r="Q7" t="s">
        <v>63</v>
      </c>
      <c r="R7" t="s">
        <v>64</v>
      </c>
      <c r="S7" t="s">
        <v>58</v>
      </c>
      <c r="T7" t="s">
        <v>65</v>
      </c>
      <c r="U7" s="13">
        <v>336</v>
      </c>
      <c r="V7" s="13">
        <v>78</v>
      </c>
      <c r="W7" s="13">
        <v>24</v>
      </c>
      <c r="X7" s="13">
        <v>15</v>
      </c>
      <c r="Y7">
        <v>36</v>
      </c>
      <c r="Z7">
        <f t="shared" si="3"/>
        <v>453</v>
      </c>
    </row>
    <row r="8" spans="1:26" hidden="1" x14ac:dyDescent="0.25">
      <c r="A8" s="6">
        <v>7</v>
      </c>
      <c r="B8" s="13" t="s">
        <v>117</v>
      </c>
      <c r="C8" t="s">
        <v>51</v>
      </c>
      <c r="D8" t="s">
        <v>118</v>
      </c>
      <c r="E8" s="13" t="s">
        <v>53</v>
      </c>
      <c r="F8" t="s">
        <v>61</v>
      </c>
      <c r="G8">
        <v>3</v>
      </c>
      <c r="H8">
        <v>65</v>
      </c>
      <c r="I8" s="4">
        <f t="shared" si="0"/>
        <v>4</v>
      </c>
      <c r="J8" s="4">
        <v>1</v>
      </c>
      <c r="K8" t="s">
        <v>62</v>
      </c>
      <c r="L8" s="5">
        <v>45720</v>
      </c>
      <c r="M8">
        <v>3</v>
      </c>
      <c r="N8" t="str">
        <f t="shared" si="1"/>
        <v>2025</v>
      </c>
      <c r="O8" t="str">
        <f t="shared" si="2"/>
        <v>Mar</v>
      </c>
      <c r="P8">
        <v>3</v>
      </c>
      <c r="Q8" t="s">
        <v>63</v>
      </c>
      <c r="R8" t="s">
        <v>64</v>
      </c>
      <c r="S8" t="s">
        <v>58</v>
      </c>
      <c r="T8" t="s">
        <v>65</v>
      </c>
      <c r="U8" s="13">
        <v>0</v>
      </c>
      <c r="V8" s="13">
        <v>22</v>
      </c>
      <c r="W8" s="13">
        <v>2</v>
      </c>
      <c r="X8" s="13">
        <v>2</v>
      </c>
      <c r="Y8">
        <v>12</v>
      </c>
      <c r="Z8">
        <f t="shared" si="3"/>
        <v>26</v>
      </c>
    </row>
    <row r="9" spans="1:26" hidden="1" x14ac:dyDescent="0.25">
      <c r="A9" s="6">
        <v>8</v>
      </c>
      <c r="B9" s="13" t="s">
        <v>119</v>
      </c>
      <c r="C9" t="s">
        <v>79</v>
      </c>
      <c r="D9" t="s">
        <v>120</v>
      </c>
      <c r="E9" s="13" t="s">
        <v>80</v>
      </c>
      <c r="F9" t="s">
        <v>68</v>
      </c>
      <c r="G9">
        <v>4</v>
      </c>
      <c r="H9">
        <v>40</v>
      </c>
      <c r="I9" s="4">
        <f t="shared" si="0"/>
        <v>0.25</v>
      </c>
      <c r="J9" s="4">
        <v>1</v>
      </c>
      <c r="K9" t="s">
        <v>69</v>
      </c>
      <c r="L9" s="5">
        <v>45832</v>
      </c>
      <c r="M9">
        <v>1</v>
      </c>
      <c r="N9" t="str">
        <f t="shared" si="1"/>
        <v>2025</v>
      </c>
      <c r="O9" t="str">
        <f t="shared" si="2"/>
        <v>Jun</v>
      </c>
      <c r="P9">
        <v>4</v>
      </c>
      <c r="Q9" t="s">
        <v>56</v>
      </c>
      <c r="R9" t="s">
        <v>70</v>
      </c>
      <c r="S9" t="s">
        <v>58</v>
      </c>
      <c r="T9" t="s">
        <v>71</v>
      </c>
      <c r="U9" s="13">
        <v>10</v>
      </c>
      <c r="V9" s="13">
        <v>6</v>
      </c>
      <c r="W9" s="13">
        <v>0</v>
      </c>
      <c r="X9" s="13">
        <v>0</v>
      </c>
      <c r="Y9">
        <v>1</v>
      </c>
      <c r="Z9">
        <f t="shared" si="3"/>
        <v>16</v>
      </c>
    </row>
    <row r="10" spans="1:26" hidden="1" x14ac:dyDescent="0.25">
      <c r="A10">
        <v>9</v>
      </c>
      <c r="B10" s="13" t="s">
        <v>126</v>
      </c>
      <c r="C10" t="s">
        <v>51</v>
      </c>
      <c r="D10" t="s">
        <v>127</v>
      </c>
      <c r="E10" s="13" t="s">
        <v>53</v>
      </c>
      <c r="F10" t="s">
        <v>68</v>
      </c>
      <c r="G10">
        <v>4</v>
      </c>
      <c r="H10">
        <v>40</v>
      </c>
      <c r="I10" s="4">
        <f t="shared" si="0"/>
        <v>3</v>
      </c>
      <c r="J10" s="4">
        <v>21</v>
      </c>
      <c r="K10" t="s">
        <v>69</v>
      </c>
      <c r="L10" s="5">
        <v>45929</v>
      </c>
      <c r="M10">
        <v>2</v>
      </c>
      <c r="N10" t="str">
        <f t="shared" si="1"/>
        <v>2025</v>
      </c>
      <c r="O10" t="str">
        <f t="shared" si="2"/>
        <v>Sep</v>
      </c>
      <c r="P10">
        <v>4</v>
      </c>
      <c r="Q10" t="s">
        <v>56</v>
      </c>
      <c r="R10" t="s">
        <v>70</v>
      </c>
      <c r="S10" t="s">
        <v>58</v>
      </c>
      <c r="T10" t="s">
        <v>71</v>
      </c>
      <c r="U10" s="13">
        <v>180</v>
      </c>
      <c r="V10" s="13">
        <v>0</v>
      </c>
      <c r="W10" s="13">
        <v>184</v>
      </c>
      <c r="X10" s="13">
        <v>2</v>
      </c>
      <c r="Y10">
        <v>12</v>
      </c>
      <c r="Z10">
        <f t="shared" si="3"/>
        <v>366</v>
      </c>
    </row>
    <row r="11" spans="1:26" hidden="1" x14ac:dyDescent="0.25">
      <c r="A11">
        <v>10</v>
      </c>
      <c r="B11" s="13" t="s">
        <v>129</v>
      </c>
      <c r="C11" t="s">
        <v>51</v>
      </c>
      <c r="D11" t="s">
        <v>130</v>
      </c>
      <c r="E11" s="13" t="s">
        <v>53</v>
      </c>
      <c r="F11" t="s">
        <v>68</v>
      </c>
      <c r="G11">
        <v>4</v>
      </c>
      <c r="H11">
        <v>40</v>
      </c>
      <c r="I11" s="4">
        <f t="shared" si="0"/>
        <v>3</v>
      </c>
      <c r="J11" s="4">
        <v>15</v>
      </c>
      <c r="K11" t="s">
        <v>69</v>
      </c>
      <c r="L11" s="5">
        <v>46025</v>
      </c>
      <c r="M11">
        <v>3</v>
      </c>
      <c r="N11" t="str">
        <f t="shared" si="1"/>
        <v>2026</v>
      </c>
      <c r="O11" t="str">
        <f t="shared" si="2"/>
        <v>Jan</v>
      </c>
      <c r="P11">
        <v>4</v>
      </c>
      <c r="Q11" t="s">
        <v>56</v>
      </c>
      <c r="R11" t="s">
        <v>70</v>
      </c>
      <c r="S11" t="s">
        <v>58</v>
      </c>
      <c r="T11" t="s">
        <v>71</v>
      </c>
      <c r="U11" s="13">
        <v>259</v>
      </c>
      <c r="V11" s="13">
        <v>52</v>
      </c>
      <c r="W11" s="13">
        <v>0</v>
      </c>
      <c r="X11" s="13">
        <v>3</v>
      </c>
      <c r="Y11">
        <v>12</v>
      </c>
      <c r="Z11">
        <f t="shared" si="3"/>
        <v>314</v>
      </c>
    </row>
    <row r="12" spans="1:26" hidden="1" x14ac:dyDescent="0.25">
      <c r="A12">
        <v>11</v>
      </c>
      <c r="B12" s="13" t="s">
        <v>132</v>
      </c>
      <c r="C12" t="s">
        <v>79</v>
      </c>
      <c r="D12" t="s">
        <v>133</v>
      </c>
      <c r="E12" s="13" t="s">
        <v>80</v>
      </c>
      <c r="F12" t="s">
        <v>68</v>
      </c>
      <c r="G12">
        <v>4</v>
      </c>
      <c r="H12">
        <v>40</v>
      </c>
      <c r="I12" s="4">
        <f t="shared" si="0"/>
        <v>3</v>
      </c>
      <c r="J12" s="4">
        <v>1</v>
      </c>
      <c r="K12" t="s">
        <v>69</v>
      </c>
      <c r="L12" s="5">
        <v>46105</v>
      </c>
      <c r="M12">
        <v>4</v>
      </c>
      <c r="N12" t="str">
        <f t="shared" si="1"/>
        <v>2026</v>
      </c>
      <c r="O12" t="str">
        <f t="shared" si="2"/>
        <v>Mar</v>
      </c>
      <c r="P12">
        <v>4</v>
      </c>
      <c r="Q12" t="s">
        <v>56</v>
      </c>
      <c r="R12" t="s">
        <v>70</v>
      </c>
      <c r="S12" t="s">
        <v>58</v>
      </c>
      <c r="T12" t="s">
        <v>71</v>
      </c>
      <c r="U12" s="13">
        <v>21</v>
      </c>
      <c r="V12" s="13">
        <v>4</v>
      </c>
      <c r="W12" s="13">
        <v>0</v>
      </c>
      <c r="X12" s="13">
        <v>1</v>
      </c>
      <c r="Y12">
        <v>12</v>
      </c>
      <c r="Z12">
        <f t="shared" si="3"/>
        <v>26</v>
      </c>
    </row>
    <row r="13" spans="1:26" hidden="1" x14ac:dyDescent="0.25">
      <c r="A13">
        <v>12</v>
      </c>
      <c r="B13" s="13" t="s">
        <v>150</v>
      </c>
      <c r="C13" t="s">
        <v>51</v>
      </c>
      <c r="D13" t="s">
        <v>151</v>
      </c>
      <c r="E13" s="13" t="s">
        <v>53</v>
      </c>
      <c r="F13" t="s">
        <v>74</v>
      </c>
      <c r="G13">
        <v>4</v>
      </c>
      <c r="H13">
        <v>18</v>
      </c>
      <c r="I13" s="4">
        <f t="shared" si="0"/>
        <v>3</v>
      </c>
      <c r="J13" s="4">
        <v>2</v>
      </c>
      <c r="K13" t="s">
        <v>75</v>
      </c>
      <c r="L13" s="5">
        <v>46090</v>
      </c>
      <c r="M13">
        <v>1</v>
      </c>
      <c r="N13" t="str">
        <f t="shared" si="1"/>
        <v>2026</v>
      </c>
      <c r="O13" t="str">
        <f t="shared" si="2"/>
        <v>Mar</v>
      </c>
      <c r="P13">
        <v>4</v>
      </c>
      <c r="Q13" t="s">
        <v>56</v>
      </c>
      <c r="R13" t="s">
        <v>64</v>
      </c>
      <c r="S13" t="s">
        <v>58</v>
      </c>
      <c r="T13" t="s">
        <v>71</v>
      </c>
      <c r="U13" s="13">
        <v>18</v>
      </c>
      <c r="V13" s="13">
        <v>1</v>
      </c>
      <c r="W13" s="13">
        <v>18</v>
      </c>
      <c r="X13" s="13">
        <v>1</v>
      </c>
      <c r="Y13">
        <v>12</v>
      </c>
      <c r="Z13">
        <f t="shared" si="3"/>
        <v>38</v>
      </c>
    </row>
    <row r="14" spans="1:26" hidden="1" x14ac:dyDescent="0.25">
      <c r="A14">
        <v>13</v>
      </c>
      <c r="B14" s="13" t="s">
        <v>165</v>
      </c>
      <c r="C14" t="s">
        <v>51</v>
      </c>
      <c r="D14" t="s">
        <v>166</v>
      </c>
      <c r="E14" s="13" t="s">
        <v>53</v>
      </c>
      <c r="F14" t="s">
        <v>74</v>
      </c>
      <c r="G14">
        <v>4</v>
      </c>
      <c r="H14">
        <v>18</v>
      </c>
      <c r="I14" s="4">
        <f t="shared" si="0"/>
        <v>3</v>
      </c>
      <c r="J14" s="4">
        <v>2</v>
      </c>
      <c r="K14" t="s">
        <v>75</v>
      </c>
      <c r="L14" s="5">
        <v>46183</v>
      </c>
      <c r="M14">
        <v>2</v>
      </c>
      <c r="N14" t="str">
        <f t="shared" si="1"/>
        <v>2026</v>
      </c>
      <c r="O14" t="str">
        <f t="shared" si="2"/>
        <v>Jun</v>
      </c>
      <c r="P14">
        <v>4</v>
      </c>
      <c r="Q14" t="s">
        <v>56</v>
      </c>
      <c r="R14" t="s">
        <v>64</v>
      </c>
      <c r="S14" t="s">
        <v>58</v>
      </c>
      <c r="T14" t="s">
        <v>71</v>
      </c>
      <c r="U14" s="13">
        <v>12</v>
      </c>
      <c r="V14" s="13">
        <v>0</v>
      </c>
      <c r="W14" s="13">
        <v>12</v>
      </c>
      <c r="X14" s="13">
        <v>0</v>
      </c>
      <c r="Y14">
        <v>12</v>
      </c>
      <c r="Z14">
        <f t="shared" si="3"/>
        <v>24</v>
      </c>
    </row>
    <row r="15" spans="1:26" hidden="1" x14ac:dyDescent="0.25">
      <c r="A15">
        <v>14</v>
      </c>
      <c r="B15" s="13" t="s">
        <v>169</v>
      </c>
      <c r="C15" t="s">
        <v>51</v>
      </c>
      <c r="D15" t="s">
        <v>170</v>
      </c>
      <c r="E15" s="13" t="s">
        <v>53</v>
      </c>
      <c r="F15" t="s">
        <v>74</v>
      </c>
      <c r="G15">
        <v>4</v>
      </c>
      <c r="H15">
        <v>18</v>
      </c>
      <c r="I15" s="4">
        <f t="shared" si="0"/>
        <v>3</v>
      </c>
      <c r="J15" s="4">
        <v>2</v>
      </c>
      <c r="K15" t="s">
        <v>75</v>
      </c>
      <c r="L15" s="5">
        <v>46274</v>
      </c>
      <c r="M15">
        <v>3</v>
      </c>
      <c r="N15" t="str">
        <f t="shared" si="1"/>
        <v>2026</v>
      </c>
      <c r="O15" t="str">
        <f t="shared" si="2"/>
        <v>Sep</v>
      </c>
      <c r="P15">
        <v>4</v>
      </c>
      <c r="Q15" t="s">
        <v>56</v>
      </c>
      <c r="R15" t="s">
        <v>64</v>
      </c>
      <c r="S15" t="s">
        <v>58</v>
      </c>
      <c r="T15" t="s">
        <v>71</v>
      </c>
      <c r="U15" s="13">
        <v>40</v>
      </c>
      <c r="V15" s="13">
        <v>6</v>
      </c>
      <c r="W15" s="13">
        <v>0</v>
      </c>
      <c r="X15" s="13">
        <v>2</v>
      </c>
      <c r="Y15">
        <v>12</v>
      </c>
      <c r="Z15">
        <f t="shared" si="3"/>
        <v>48</v>
      </c>
    </row>
    <row r="16" spans="1:26" hidden="1" x14ac:dyDescent="0.25">
      <c r="A16">
        <v>15</v>
      </c>
      <c r="B16" s="13" t="s">
        <v>171</v>
      </c>
      <c r="C16" t="s">
        <v>51</v>
      </c>
      <c r="D16" t="s">
        <v>172</v>
      </c>
      <c r="E16" s="13" t="s">
        <v>53</v>
      </c>
      <c r="F16" t="s">
        <v>74</v>
      </c>
      <c r="G16">
        <v>4</v>
      </c>
      <c r="H16">
        <v>18</v>
      </c>
      <c r="I16" s="4">
        <f t="shared" si="0"/>
        <v>3</v>
      </c>
      <c r="J16" s="4">
        <v>5</v>
      </c>
      <c r="K16" t="s">
        <v>75</v>
      </c>
      <c r="L16" s="5">
        <v>46365</v>
      </c>
      <c r="M16">
        <v>4</v>
      </c>
      <c r="N16" t="str">
        <f t="shared" si="1"/>
        <v>2026</v>
      </c>
      <c r="O16" t="str">
        <f t="shared" si="2"/>
        <v>Dec</v>
      </c>
      <c r="P16">
        <v>4</v>
      </c>
      <c r="Q16" t="s">
        <v>56</v>
      </c>
      <c r="R16" t="s">
        <v>64</v>
      </c>
      <c r="S16" t="s">
        <v>58</v>
      </c>
      <c r="T16" t="s">
        <v>71</v>
      </c>
      <c r="U16" s="13">
        <v>45</v>
      </c>
      <c r="V16" s="13">
        <v>22</v>
      </c>
      <c r="W16" s="13">
        <v>5</v>
      </c>
      <c r="X16" s="13">
        <v>1</v>
      </c>
      <c r="Y16">
        <v>12</v>
      </c>
      <c r="Z16">
        <f t="shared" si="3"/>
        <v>73</v>
      </c>
    </row>
    <row r="17" spans="1:26" hidden="1" x14ac:dyDescent="0.25">
      <c r="A17">
        <v>16</v>
      </c>
      <c r="B17" s="13" t="s">
        <v>173</v>
      </c>
      <c r="C17" t="s">
        <v>79</v>
      </c>
      <c r="D17" t="s">
        <v>174</v>
      </c>
      <c r="E17" s="13" t="s">
        <v>128</v>
      </c>
      <c r="F17" t="s">
        <v>76</v>
      </c>
      <c r="G17">
        <v>3</v>
      </c>
      <c r="H17">
        <v>62</v>
      </c>
      <c r="I17" s="4">
        <f t="shared" si="0"/>
        <v>4</v>
      </c>
      <c r="J17" s="4">
        <v>1</v>
      </c>
      <c r="K17" t="s">
        <v>77</v>
      </c>
      <c r="L17" s="5">
        <v>45427</v>
      </c>
      <c r="M17">
        <v>1</v>
      </c>
      <c r="N17" t="str">
        <f t="shared" si="1"/>
        <v>2024</v>
      </c>
      <c r="O17" t="str">
        <f t="shared" si="2"/>
        <v>May</v>
      </c>
      <c r="P17">
        <v>3</v>
      </c>
      <c r="Q17" t="s">
        <v>56</v>
      </c>
      <c r="R17" t="s">
        <v>78</v>
      </c>
      <c r="S17" t="s">
        <v>58</v>
      </c>
      <c r="T17" t="s">
        <v>71</v>
      </c>
      <c r="U17" s="13">
        <v>0</v>
      </c>
      <c r="V17" s="13">
        <v>2</v>
      </c>
      <c r="W17" s="13">
        <v>0</v>
      </c>
      <c r="X17" s="13">
        <v>2</v>
      </c>
      <c r="Y17">
        <v>12</v>
      </c>
      <c r="Z17">
        <f t="shared" si="3"/>
        <v>4</v>
      </c>
    </row>
    <row r="18" spans="1:26" hidden="1" x14ac:dyDescent="0.25">
      <c r="A18">
        <v>17</v>
      </c>
      <c r="B18" s="13" t="s">
        <v>183</v>
      </c>
      <c r="C18" t="s">
        <v>79</v>
      </c>
      <c r="D18" t="s">
        <v>184</v>
      </c>
      <c r="E18" s="13" t="s">
        <v>80</v>
      </c>
      <c r="F18" t="s">
        <v>76</v>
      </c>
      <c r="G18">
        <v>3</v>
      </c>
      <c r="H18">
        <v>62</v>
      </c>
      <c r="I18" s="4">
        <f t="shared" si="0"/>
        <v>4</v>
      </c>
      <c r="J18" s="4">
        <v>3</v>
      </c>
      <c r="K18" t="s">
        <v>77</v>
      </c>
      <c r="L18" s="5">
        <v>45548</v>
      </c>
      <c r="M18">
        <v>2</v>
      </c>
      <c r="N18" t="str">
        <f t="shared" si="1"/>
        <v>2024</v>
      </c>
      <c r="O18" t="str">
        <f t="shared" si="2"/>
        <v>Sep</v>
      </c>
      <c r="P18">
        <v>3</v>
      </c>
      <c r="Q18" t="s">
        <v>56</v>
      </c>
      <c r="R18" t="s">
        <v>78</v>
      </c>
      <c r="S18" t="s">
        <v>58</v>
      </c>
      <c r="T18" t="s">
        <v>71</v>
      </c>
      <c r="U18" s="13">
        <v>31</v>
      </c>
      <c r="V18" s="13">
        <v>12</v>
      </c>
      <c r="W18" s="13">
        <v>0</v>
      </c>
      <c r="X18" s="13">
        <v>1</v>
      </c>
      <c r="Y18">
        <v>12</v>
      </c>
      <c r="Z18">
        <f t="shared" si="3"/>
        <v>44</v>
      </c>
    </row>
    <row r="19" spans="1:26" hidden="1" x14ac:dyDescent="0.25">
      <c r="A19">
        <v>18</v>
      </c>
      <c r="B19" s="13" t="s">
        <v>193</v>
      </c>
      <c r="C19" t="s">
        <v>51</v>
      </c>
      <c r="D19" t="s">
        <v>194</v>
      </c>
      <c r="E19" s="13" t="s">
        <v>53</v>
      </c>
      <c r="F19" t="s">
        <v>76</v>
      </c>
      <c r="G19">
        <v>3</v>
      </c>
      <c r="H19">
        <v>62</v>
      </c>
      <c r="I19" s="4">
        <f t="shared" si="0"/>
        <v>3</v>
      </c>
      <c r="J19" s="4">
        <v>15</v>
      </c>
      <c r="K19" t="s">
        <v>77</v>
      </c>
      <c r="L19" s="5">
        <v>45683</v>
      </c>
      <c r="M19">
        <v>3</v>
      </c>
      <c r="N19" t="str">
        <f t="shared" si="1"/>
        <v>2025</v>
      </c>
      <c r="O19" t="str">
        <f t="shared" si="2"/>
        <v>Jan</v>
      </c>
      <c r="P19">
        <v>3</v>
      </c>
      <c r="Q19" t="s">
        <v>56</v>
      </c>
      <c r="R19" t="s">
        <v>78</v>
      </c>
      <c r="S19" t="s">
        <v>58</v>
      </c>
      <c r="T19" t="s">
        <v>71</v>
      </c>
      <c r="U19" s="13">
        <v>461</v>
      </c>
      <c r="V19" s="13">
        <v>83</v>
      </c>
      <c r="W19" s="13">
        <v>60</v>
      </c>
      <c r="X19" s="13">
        <v>10</v>
      </c>
      <c r="Y19">
        <v>9</v>
      </c>
      <c r="Z19">
        <f t="shared" si="3"/>
        <v>614</v>
      </c>
    </row>
    <row r="20" spans="1:26" hidden="1" x14ac:dyDescent="0.25">
      <c r="A20">
        <v>19</v>
      </c>
      <c r="B20" s="13" t="s">
        <v>195</v>
      </c>
      <c r="C20" t="s">
        <v>51</v>
      </c>
      <c r="D20" t="s">
        <v>196</v>
      </c>
      <c r="E20" s="13" t="s">
        <v>114</v>
      </c>
      <c r="F20" t="s">
        <v>81</v>
      </c>
      <c r="G20">
        <v>4</v>
      </c>
      <c r="H20">
        <v>24</v>
      </c>
      <c r="I20" s="4">
        <f t="shared" si="0"/>
        <v>3</v>
      </c>
      <c r="J20" s="4">
        <v>2</v>
      </c>
      <c r="K20" t="s">
        <v>69</v>
      </c>
      <c r="L20" s="5">
        <v>45894</v>
      </c>
      <c r="M20">
        <v>1</v>
      </c>
      <c r="N20" t="str">
        <f t="shared" si="1"/>
        <v>2025</v>
      </c>
      <c r="O20" t="str">
        <f t="shared" si="2"/>
        <v>Aug</v>
      </c>
      <c r="P20">
        <v>4</v>
      </c>
      <c r="Q20" t="s">
        <v>56</v>
      </c>
      <c r="R20" t="s">
        <v>64</v>
      </c>
      <c r="S20" t="s">
        <v>82</v>
      </c>
      <c r="T20" t="s">
        <v>71</v>
      </c>
      <c r="U20" s="13">
        <v>33</v>
      </c>
      <c r="V20" s="13">
        <v>8</v>
      </c>
      <c r="W20" s="13">
        <v>4</v>
      </c>
      <c r="X20" s="13">
        <v>0</v>
      </c>
      <c r="Y20">
        <v>12</v>
      </c>
      <c r="Z20">
        <f t="shared" si="3"/>
        <v>45</v>
      </c>
    </row>
    <row r="21" spans="1:26" hidden="1" x14ac:dyDescent="0.25">
      <c r="A21">
        <v>20</v>
      </c>
      <c r="B21" s="13" t="s">
        <v>199</v>
      </c>
      <c r="C21" t="s">
        <v>51</v>
      </c>
      <c r="D21" t="s">
        <v>200</v>
      </c>
      <c r="E21" s="13" t="s">
        <v>53</v>
      </c>
      <c r="F21" t="s">
        <v>81</v>
      </c>
      <c r="G21">
        <v>4</v>
      </c>
      <c r="H21">
        <v>24</v>
      </c>
      <c r="I21" s="4">
        <f t="shared" si="0"/>
        <v>3</v>
      </c>
      <c r="J21" s="4">
        <v>10</v>
      </c>
      <c r="K21" t="s">
        <v>69</v>
      </c>
      <c r="L21" s="5">
        <v>45957</v>
      </c>
      <c r="M21">
        <v>2</v>
      </c>
      <c r="N21" t="str">
        <f t="shared" si="1"/>
        <v>2025</v>
      </c>
      <c r="O21" t="str">
        <f t="shared" si="2"/>
        <v>Oct</v>
      </c>
      <c r="P21">
        <v>4</v>
      </c>
      <c r="Q21" t="s">
        <v>56</v>
      </c>
      <c r="R21" t="s">
        <v>64</v>
      </c>
      <c r="S21" t="s">
        <v>82</v>
      </c>
      <c r="T21" t="s">
        <v>71</v>
      </c>
      <c r="U21" s="13">
        <v>260</v>
      </c>
      <c r="V21" s="13">
        <v>18</v>
      </c>
      <c r="W21" s="13">
        <v>18</v>
      </c>
      <c r="X21" s="13">
        <v>2</v>
      </c>
      <c r="Y21">
        <v>12</v>
      </c>
      <c r="Z21">
        <f t="shared" si="3"/>
        <v>298</v>
      </c>
    </row>
    <row r="22" spans="1:26" hidden="1" x14ac:dyDescent="0.25">
      <c r="A22">
        <v>21</v>
      </c>
      <c r="B22" s="13" t="s">
        <v>213</v>
      </c>
      <c r="C22" t="s">
        <v>79</v>
      </c>
      <c r="D22" t="s">
        <v>214</v>
      </c>
      <c r="E22" s="13" t="s">
        <v>80</v>
      </c>
      <c r="F22" t="s">
        <v>81</v>
      </c>
      <c r="G22">
        <v>4</v>
      </c>
      <c r="H22">
        <v>24</v>
      </c>
      <c r="I22" s="4">
        <f t="shared" si="0"/>
        <v>3</v>
      </c>
      <c r="J22" s="4">
        <v>6</v>
      </c>
      <c r="K22" t="s">
        <v>69</v>
      </c>
      <c r="L22" s="5">
        <v>46042</v>
      </c>
      <c r="M22">
        <v>3</v>
      </c>
      <c r="N22" t="str">
        <f t="shared" si="1"/>
        <v>2026</v>
      </c>
      <c r="O22" t="str">
        <f t="shared" si="2"/>
        <v>Jan</v>
      </c>
      <c r="P22">
        <v>4</v>
      </c>
      <c r="Q22" t="s">
        <v>56</v>
      </c>
      <c r="R22" t="s">
        <v>64</v>
      </c>
      <c r="S22" t="s">
        <v>82</v>
      </c>
      <c r="T22" t="s">
        <v>71</v>
      </c>
      <c r="U22" s="13">
        <v>165</v>
      </c>
      <c r="V22" s="13">
        <v>36</v>
      </c>
      <c r="W22" s="13">
        <v>7</v>
      </c>
      <c r="X22" s="13">
        <v>12</v>
      </c>
      <c r="Y22">
        <v>12</v>
      </c>
      <c r="Z22">
        <f t="shared" si="3"/>
        <v>220</v>
      </c>
    </row>
    <row r="23" spans="1:26" hidden="1" x14ac:dyDescent="0.25">
      <c r="A23">
        <v>22</v>
      </c>
      <c r="B23" s="13" t="s">
        <v>223</v>
      </c>
      <c r="C23" t="s">
        <v>79</v>
      </c>
      <c r="D23" t="s">
        <v>224</v>
      </c>
      <c r="E23" s="13" t="s">
        <v>128</v>
      </c>
      <c r="F23" t="s">
        <v>81</v>
      </c>
      <c r="G23">
        <v>4</v>
      </c>
      <c r="H23">
        <v>24</v>
      </c>
      <c r="I23" s="4">
        <f t="shared" si="0"/>
        <v>3</v>
      </c>
      <c r="J23" s="4">
        <v>4</v>
      </c>
      <c r="K23" t="s">
        <v>69</v>
      </c>
      <c r="L23" s="5">
        <v>46132</v>
      </c>
      <c r="M23">
        <v>4</v>
      </c>
      <c r="N23" t="str">
        <f t="shared" si="1"/>
        <v>2026</v>
      </c>
      <c r="O23" t="str">
        <f t="shared" si="2"/>
        <v>Apr</v>
      </c>
      <c r="P23">
        <v>4</v>
      </c>
      <c r="Q23" t="s">
        <v>56</v>
      </c>
      <c r="R23" t="s">
        <v>64</v>
      </c>
      <c r="S23" t="s">
        <v>82</v>
      </c>
      <c r="T23" t="s">
        <v>71</v>
      </c>
      <c r="U23" s="13">
        <v>11</v>
      </c>
      <c r="V23" s="13">
        <v>20</v>
      </c>
      <c r="W23" s="13">
        <v>4</v>
      </c>
      <c r="X23" s="13">
        <v>11</v>
      </c>
      <c r="Y23">
        <v>12</v>
      </c>
      <c r="Z23">
        <f t="shared" si="3"/>
        <v>46</v>
      </c>
    </row>
    <row r="24" spans="1:26" hidden="1" x14ac:dyDescent="0.25">
      <c r="A24">
        <v>23</v>
      </c>
      <c r="B24" s="13" t="s">
        <v>225</v>
      </c>
      <c r="C24" t="s">
        <v>79</v>
      </c>
      <c r="D24" t="s">
        <v>226</v>
      </c>
      <c r="E24" s="13" t="s">
        <v>80</v>
      </c>
      <c r="F24" t="s">
        <v>83</v>
      </c>
      <c r="G24">
        <v>3</v>
      </c>
      <c r="H24">
        <v>10</v>
      </c>
      <c r="I24" s="4">
        <f t="shared" si="0"/>
        <v>4</v>
      </c>
      <c r="J24" s="4">
        <v>17</v>
      </c>
      <c r="K24" t="s">
        <v>77</v>
      </c>
      <c r="L24" s="5">
        <v>45762</v>
      </c>
      <c r="M24">
        <v>1</v>
      </c>
      <c r="N24" t="str">
        <f t="shared" si="1"/>
        <v>2025</v>
      </c>
      <c r="O24" t="str">
        <f t="shared" si="2"/>
        <v>Apr</v>
      </c>
      <c r="P24">
        <v>3</v>
      </c>
      <c r="Q24" t="s">
        <v>56</v>
      </c>
      <c r="R24" t="s">
        <v>64</v>
      </c>
      <c r="S24" t="s">
        <v>84</v>
      </c>
      <c r="U24" s="13">
        <v>261</v>
      </c>
      <c r="V24" s="13">
        <v>105</v>
      </c>
      <c r="W24" s="13">
        <v>0</v>
      </c>
      <c r="X24" s="13">
        <v>1</v>
      </c>
      <c r="Y24">
        <v>12</v>
      </c>
      <c r="Z24">
        <f t="shared" si="3"/>
        <v>367</v>
      </c>
    </row>
    <row r="25" spans="1:26" hidden="1" x14ac:dyDescent="0.25">
      <c r="A25">
        <v>24</v>
      </c>
      <c r="B25" s="13" t="s">
        <v>231</v>
      </c>
      <c r="C25" t="s">
        <v>79</v>
      </c>
      <c r="D25" t="s">
        <v>232</v>
      </c>
      <c r="E25" s="13" t="s">
        <v>80</v>
      </c>
      <c r="F25" t="s">
        <v>83</v>
      </c>
      <c r="G25">
        <v>3</v>
      </c>
      <c r="H25">
        <v>10</v>
      </c>
      <c r="I25" s="4">
        <f t="shared" si="0"/>
        <v>4</v>
      </c>
      <c r="J25" s="4">
        <v>33</v>
      </c>
      <c r="K25" t="s">
        <v>77</v>
      </c>
      <c r="L25" s="5">
        <v>45884</v>
      </c>
      <c r="M25">
        <v>2</v>
      </c>
      <c r="N25" t="str">
        <f t="shared" si="1"/>
        <v>2025</v>
      </c>
      <c r="O25" t="str">
        <f t="shared" si="2"/>
        <v>Aug</v>
      </c>
      <c r="P25">
        <v>3</v>
      </c>
      <c r="Q25" t="s">
        <v>56</v>
      </c>
      <c r="R25" t="s">
        <v>64</v>
      </c>
      <c r="S25" t="s">
        <v>84</v>
      </c>
      <c r="U25" s="13">
        <v>295</v>
      </c>
      <c r="V25" s="13">
        <v>105</v>
      </c>
      <c r="W25" s="13">
        <v>0</v>
      </c>
      <c r="X25" s="13">
        <v>15</v>
      </c>
      <c r="Y25">
        <v>12</v>
      </c>
      <c r="Z25">
        <f t="shared" si="3"/>
        <v>415</v>
      </c>
    </row>
    <row r="26" spans="1:26" hidden="1" x14ac:dyDescent="0.25">
      <c r="A26">
        <v>25</v>
      </c>
      <c r="B26" s="13" t="s">
        <v>233</v>
      </c>
      <c r="C26" t="s">
        <v>51</v>
      </c>
      <c r="D26" t="s">
        <v>234</v>
      </c>
      <c r="E26" s="13" t="s">
        <v>53</v>
      </c>
      <c r="F26" t="s">
        <v>83</v>
      </c>
      <c r="G26">
        <v>3</v>
      </c>
      <c r="H26">
        <v>10</v>
      </c>
      <c r="I26" s="4">
        <f t="shared" si="0"/>
        <v>0.33333333333333331</v>
      </c>
      <c r="J26" s="4">
        <v>18</v>
      </c>
      <c r="K26" t="s">
        <v>77</v>
      </c>
      <c r="L26" s="5">
        <v>45999</v>
      </c>
      <c r="M26">
        <v>3</v>
      </c>
      <c r="N26" t="str">
        <f t="shared" si="1"/>
        <v>2025</v>
      </c>
      <c r="O26" t="str">
        <f t="shared" si="2"/>
        <v>Dec</v>
      </c>
      <c r="P26">
        <v>3</v>
      </c>
      <c r="Q26" t="s">
        <v>56</v>
      </c>
      <c r="R26" t="s">
        <v>64</v>
      </c>
      <c r="S26" t="s">
        <v>84</v>
      </c>
      <c r="U26" s="13">
        <v>244</v>
      </c>
      <c r="V26" s="13">
        <v>91</v>
      </c>
      <c r="W26" s="13">
        <v>0</v>
      </c>
      <c r="X26" s="13">
        <v>9</v>
      </c>
      <c r="Y26">
        <v>1</v>
      </c>
      <c r="Z26">
        <f t="shared" si="3"/>
        <v>344</v>
      </c>
    </row>
    <row r="27" spans="1:26" hidden="1" x14ac:dyDescent="0.25">
      <c r="A27">
        <v>26</v>
      </c>
      <c r="B27" s="13" t="s">
        <v>235</v>
      </c>
      <c r="C27" t="s">
        <v>79</v>
      </c>
      <c r="D27" t="s">
        <v>236</v>
      </c>
      <c r="E27" s="13" t="s">
        <v>80</v>
      </c>
      <c r="F27" t="s">
        <v>74</v>
      </c>
      <c r="G27">
        <v>4</v>
      </c>
      <c r="H27">
        <v>24</v>
      </c>
      <c r="I27" s="4">
        <f t="shared" si="0"/>
        <v>6</v>
      </c>
      <c r="J27" s="4">
        <v>12</v>
      </c>
      <c r="K27" t="s">
        <v>75</v>
      </c>
      <c r="L27" s="5">
        <v>46086</v>
      </c>
      <c r="M27">
        <v>1</v>
      </c>
      <c r="N27" t="str">
        <f t="shared" si="1"/>
        <v>2026</v>
      </c>
      <c r="O27" t="str">
        <f t="shared" si="2"/>
        <v>Mar</v>
      </c>
      <c r="P27">
        <v>4</v>
      </c>
      <c r="Q27" t="s">
        <v>56</v>
      </c>
      <c r="R27" t="s">
        <v>64</v>
      </c>
      <c r="S27" t="s">
        <v>58</v>
      </c>
      <c r="T27" t="s">
        <v>65</v>
      </c>
      <c r="U27" s="13">
        <v>35</v>
      </c>
      <c r="V27" s="13">
        <v>66</v>
      </c>
      <c r="W27" s="13">
        <v>0</v>
      </c>
      <c r="X27" s="13">
        <v>21</v>
      </c>
      <c r="Y27">
        <v>24</v>
      </c>
      <c r="Z27">
        <f t="shared" si="3"/>
        <v>122</v>
      </c>
    </row>
    <row r="28" spans="1:26" hidden="1" x14ac:dyDescent="0.25">
      <c r="A28">
        <v>27</v>
      </c>
      <c r="B28" s="13" t="s">
        <v>229</v>
      </c>
      <c r="C28" t="s">
        <v>51</v>
      </c>
      <c r="D28" t="s">
        <v>230</v>
      </c>
      <c r="E28" s="13" t="s">
        <v>53</v>
      </c>
      <c r="F28" t="s">
        <v>74</v>
      </c>
      <c r="G28">
        <v>4</v>
      </c>
      <c r="H28">
        <v>24</v>
      </c>
      <c r="I28" s="4">
        <f t="shared" si="0"/>
        <v>3</v>
      </c>
      <c r="J28" s="4">
        <v>24</v>
      </c>
      <c r="K28" t="s">
        <v>75</v>
      </c>
      <c r="L28" s="5">
        <v>46177</v>
      </c>
      <c r="M28">
        <v>2</v>
      </c>
      <c r="N28" t="str">
        <f t="shared" si="1"/>
        <v>2026</v>
      </c>
      <c r="O28" t="str">
        <f t="shared" si="2"/>
        <v>Jun</v>
      </c>
      <c r="P28">
        <v>4</v>
      </c>
      <c r="Q28" t="s">
        <v>56</v>
      </c>
      <c r="R28" t="s">
        <v>64</v>
      </c>
      <c r="S28" t="s">
        <v>58</v>
      </c>
      <c r="T28" t="s">
        <v>65</v>
      </c>
      <c r="U28" s="13">
        <v>109</v>
      </c>
      <c r="V28" s="13">
        <v>441</v>
      </c>
      <c r="W28" s="13">
        <v>0</v>
      </c>
      <c r="X28" s="13">
        <v>0</v>
      </c>
      <c r="Y28">
        <v>12</v>
      </c>
      <c r="Z28">
        <f t="shared" si="3"/>
        <v>550</v>
      </c>
    </row>
    <row r="29" spans="1:26" hidden="1" x14ac:dyDescent="0.25">
      <c r="A29">
        <v>28</v>
      </c>
      <c r="B29" s="13" t="s">
        <v>301</v>
      </c>
      <c r="C29" t="s">
        <v>79</v>
      </c>
      <c r="D29" t="s">
        <v>308</v>
      </c>
      <c r="E29" s="13" t="s">
        <v>80</v>
      </c>
      <c r="F29" t="s">
        <v>74</v>
      </c>
      <c r="G29">
        <v>4</v>
      </c>
      <c r="H29">
        <v>24</v>
      </c>
      <c r="I29" s="4">
        <f t="shared" si="0"/>
        <v>3</v>
      </c>
      <c r="J29" s="4">
        <v>4</v>
      </c>
      <c r="K29" t="s">
        <v>75</v>
      </c>
      <c r="L29" s="5">
        <v>46269</v>
      </c>
      <c r="M29">
        <v>3</v>
      </c>
      <c r="N29" t="str">
        <f t="shared" si="1"/>
        <v>2026</v>
      </c>
      <c r="O29" t="str">
        <f t="shared" si="2"/>
        <v>Sep</v>
      </c>
      <c r="P29">
        <v>4</v>
      </c>
      <c r="Q29" t="s">
        <v>56</v>
      </c>
      <c r="R29" t="s">
        <v>64</v>
      </c>
      <c r="S29" t="s">
        <v>58</v>
      </c>
      <c r="T29" t="s">
        <v>65</v>
      </c>
      <c r="U29" s="13">
        <v>8</v>
      </c>
      <c r="V29" s="13">
        <v>8</v>
      </c>
      <c r="W29" s="13">
        <v>0</v>
      </c>
      <c r="X29" s="13">
        <v>0</v>
      </c>
      <c r="Y29">
        <v>12</v>
      </c>
      <c r="Z29">
        <f t="shared" si="3"/>
        <v>16</v>
      </c>
    </row>
    <row r="30" spans="1:26" hidden="1" x14ac:dyDescent="0.25">
      <c r="A30">
        <v>29</v>
      </c>
      <c r="B30" s="13" t="s">
        <v>302</v>
      </c>
      <c r="C30" t="s">
        <v>79</v>
      </c>
      <c r="D30" t="s">
        <v>309</v>
      </c>
      <c r="E30" s="13" t="s">
        <v>80</v>
      </c>
      <c r="F30" t="s">
        <v>74</v>
      </c>
      <c r="G30">
        <v>4</v>
      </c>
      <c r="H30">
        <v>24</v>
      </c>
      <c r="I30" s="4">
        <f t="shared" si="0"/>
        <v>3</v>
      </c>
      <c r="J30" s="4">
        <v>1</v>
      </c>
      <c r="K30" t="s">
        <v>75</v>
      </c>
      <c r="L30" s="5">
        <v>46361</v>
      </c>
      <c r="M30">
        <v>4</v>
      </c>
      <c r="N30" t="str">
        <f t="shared" si="1"/>
        <v>2026</v>
      </c>
      <c r="O30" t="str">
        <f t="shared" si="2"/>
        <v>Dec</v>
      </c>
      <c r="P30">
        <v>4</v>
      </c>
      <c r="Q30" t="s">
        <v>56</v>
      </c>
      <c r="R30" t="s">
        <v>64</v>
      </c>
      <c r="S30" t="s">
        <v>58</v>
      </c>
      <c r="T30" t="s">
        <v>65</v>
      </c>
      <c r="U30" s="13">
        <v>4</v>
      </c>
      <c r="V30" s="13">
        <v>2</v>
      </c>
      <c r="W30" s="13">
        <v>0</v>
      </c>
      <c r="X30" s="13">
        <v>1</v>
      </c>
      <c r="Y30">
        <v>12</v>
      </c>
      <c r="Z30">
        <f t="shared" si="3"/>
        <v>7</v>
      </c>
    </row>
    <row r="31" spans="1:26" hidden="1" x14ac:dyDescent="0.25">
      <c r="A31">
        <v>30</v>
      </c>
      <c r="B31" s="13" t="s">
        <v>185</v>
      </c>
      <c r="C31" t="s">
        <v>51</v>
      </c>
      <c r="D31" t="s">
        <v>186</v>
      </c>
      <c r="E31" s="13" t="s">
        <v>53</v>
      </c>
      <c r="F31" t="s">
        <v>76</v>
      </c>
      <c r="G31">
        <v>2</v>
      </c>
      <c r="H31">
        <v>2</v>
      </c>
      <c r="I31" s="4">
        <f t="shared" si="0"/>
        <v>6</v>
      </c>
      <c r="J31" s="4">
        <v>2</v>
      </c>
      <c r="K31" t="s">
        <v>87</v>
      </c>
      <c r="L31" s="5">
        <v>45674</v>
      </c>
      <c r="M31">
        <v>1</v>
      </c>
      <c r="N31" t="str">
        <f t="shared" si="1"/>
        <v>2025</v>
      </c>
      <c r="O31" t="str">
        <f t="shared" si="2"/>
        <v>Jan</v>
      </c>
      <c r="P31">
        <v>2</v>
      </c>
      <c r="Q31" t="s">
        <v>56</v>
      </c>
      <c r="R31" t="s">
        <v>70</v>
      </c>
      <c r="U31" s="13">
        <v>32</v>
      </c>
      <c r="V31" s="13">
        <v>9</v>
      </c>
      <c r="W31" s="13">
        <v>0</v>
      </c>
      <c r="X31" s="13">
        <v>1</v>
      </c>
      <c r="Y31">
        <v>12</v>
      </c>
      <c r="Z31">
        <f t="shared" si="3"/>
        <v>42</v>
      </c>
    </row>
    <row r="32" spans="1:26" hidden="1" x14ac:dyDescent="0.25">
      <c r="A32">
        <v>31</v>
      </c>
      <c r="B32" s="13" t="s">
        <v>115</v>
      </c>
      <c r="C32" t="s">
        <v>79</v>
      </c>
      <c r="D32" t="s">
        <v>116</v>
      </c>
      <c r="E32" s="13" t="s">
        <v>80</v>
      </c>
      <c r="F32" t="s">
        <v>76</v>
      </c>
      <c r="G32">
        <v>2</v>
      </c>
      <c r="H32">
        <v>2</v>
      </c>
      <c r="I32" s="4">
        <f t="shared" si="0"/>
        <v>6</v>
      </c>
      <c r="J32" s="4">
        <v>9</v>
      </c>
      <c r="K32" t="s">
        <v>87</v>
      </c>
      <c r="M32">
        <v>2</v>
      </c>
      <c r="N32" t="str">
        <f t="shared" si="1"/>
        <v>1900</v>
      </c>
      <c r="O32" t="str">
        <f t="shared" si="2"/>
        <v>Jan</v>
      </c>
      <c r="P32">
        <v>2</v>
      </c>
      <c r="Q32" t="s">
        <v>56</v>
      </c>
      <c r="R32" t="s">
        <v>70</v>
      </c>
      <c r="U32" s="13">
        <v>76</v>
      </c>
      <c r="V32" s="13">
        <v>26</v>
      </c>
      <c r="W32" s="13">
        <v>17</v>
      </c>
      <c r="X32" s="13">
        <v>12</v>
      </c>
      <c r="Y32">
        <v>12</v>
      </c>
      <c r="Z32">
        <f t="shared" si="3"/>
        <v>131</v>
      </c>
    </row>
    <row r="33" spans="1:26" x14ac:dyDescent="0.25">
      <c r="A33">
        <v>32</v>
      </c>
      <c r="B33" s="13" t="s">
        <v>138</v>
      </c>
      <c r="C33" t="s">
        <v>89</v>
      </c>
      <c r="D33" t="s">
        <v>139</v>
      </c>
      <c r="E33" s="13" t="s">
        <v>53</v>
      </c>
      <c r="F33" t="s">
        <v>91</v>
      </c>
      <c r="G33">
        <v>4</v>
      </c>
      <c r="H33">
        <v>116</v>
      </c>
      <c r="I33" s="4">
        <f t="shared" si="0"/>
        <v>3</v>
      </c>
      <c r="J33" s="4">
        <v>0.05</v>
      </c>
      <c r="K33" t="s">
        <v>69</v>
      </c>
      <c r="L33" s="5">
        <v>45835</v>
      </c>
      <c r="M33">
        <v>1</v>
      </c>
      <c r="N33" t="str">
        <f t="shared" si="1"/>
        <v>2025</v>
      </c>
      <c r="O33" t="str">
        <f t="shared" si="2"/>
        <v>Jun</v>
      </c>
      <c r="P33">
        <v>4</v>
      </c>
      <c r="Q33" t="s">
        <v>63</v>
      </c>
      <c r="R33" t="s">
        <v>78</v>
      </c>
      <c r="S33" t="s">
        <v>58</v>
      </c>
      <c r="T33" t="s">
        <v>71</v>
      </c>
      <c r="U33" s="13">
        <v>5</v>
      </c>
      <c r="V33" s="13">
        <v>1</v>
      </c>
      <c r="W33" s="13">
        <v>1</v>
      </c>
      <c r="X33" s="13">
        <v>1</v>
      </c>
      <c r="Y33">
        <v>12</v>
      </c>
      <c r="Z33">
        <f t="shared" si="3"/>
        <v>8</v>
      </c>
    </row>
    <row r="34" spans="1:26" x14ac:dyDescent="0.25">
      <c r="A34">
        <v>33</v>
      </c>
      <c r="B34" s="13" t="s">
        <v>175</v>
      </c>
      <c r="C34" t="s">
        <v>89</v>
      </c>
      <c r="D34" t="s">
        <v>176</v>
      </c>
      <c r="E34" s="13" t="s">
        <v>53</v>
      </c>
      <c r="F34" t="s">
        <v>91</v>
      </c>
      <c r="G34">
        <v>4</v>
      </c>
      <c r="H34">
        <v>116</v>
      </c>
      <c r="I34" s="4">
        <f t="shared" si="0"/>
        <v>3</v>
      </c>
      <c r="J34" s="4">
        <v>0.05</v>
      </c>
      <c r="K34" t="s">
        <v>69</v>
      </c>
      <c r="L34" s="5">
        <v>45927</v>
      </c>
      <c r="M34">
        <v>2</v>
      </c>
      <c r="N34" t="str">
        <f t="shared" si="1"/>
        <v>2025</v>
      </c>
      <c r="O34" t="str">
        <f t="shared" si="2"/>
        <v>Sep</v>
      </c>
      <c r="P34">
        <v>4</v>
      </c>
      <c r="Q34" t="s">
        <v>63</v>
      </c>
      <c r="R34" t="s">
        <v>78</v>
      </c>
      <c r="S34" t="s">
        <v>58</v>
      </c>
      <c r="T34" t="s">
        <v>71</v>
      </c>
      <c r="U34" s="13">
        <v>5</v>
      </c>
      <c r="V34" s="13">
        <v>1</v>
      </c>
      <c r="W34" s="13">
        <v>1</v>
      </c>
      <c r="X34" s="13">
        <v>1</v>
      </c>
      <c r="Y34">
        <v>12</v>
      </c>
      <c r="Z34">
        <f t="shared" si="3"/>
        <v>8</v>
      </c>
    </row>
    <row r="35" spans="1:26" x14ac:dyDescent="0.25">
      <c r="A35">
        <v>34</v>
      </c>
      <c r="B35" s="13" t="s">
        <v>239</v>
      </c>
      <c r="C35" t="s">
        <v>89</v>
      </c>
      <c r="D35" t="s">
        <v>240</v>
      </c>
      <c r="E35" s="13" t="s">
        <v>53</v>
      </c>
      <c r="F35" t="s">
        <v>91</v>
      </c>
      <c r="G35">
        <v>4</v>
      </c>
      <c r="H35">
        <v>116</v>
      </c>
      <c r="I35" s="4">
        <f t="shared" si="0"/>
        <v>3</v>
      </c>
      <c r="J35" s="4">
        <v>0.05</v>
      </c>
      <c r="K35" t="s">
        <v>69</v>
      </c>
      <c r="L35" s="5">
        <v>46018</v>
      </c>
      <c r="M35">
        <v>3</v>
      </c>
      <c r="N35" t="str">
        <f t="shared" si="1"/>
        <v>2025</v>
      </c>
      <c r="O35" t="str">
        <f t="shared" si="2"/>
        <v>Dec</v>
      </c>
      <c r="P35">
        <v>4</v>
      </c>
      <c r="Q35" t="s">
        <v>63</v>
      </c>
      <c r="R35" t="s">
        <v>78</v>
      </c>
      <c r="S35" t="s">
        <v>58</v>
      </c>
      <c r="T35" t="s">
        <v>71</v>
      </c>
      <c r="U35" s="13">
        <v>4</v>
      </c>
      <c r="V35" s="13">
        <v>0</v>
      </c>
      <c r="W35" s="13">
        <v>4</v>
      </c>
      <c r="X35" s="13">
        <v>0</v>
      </c>
      <c r="Y35">
        <v>12</v>
      </c>
      <c r="Z35">
        <f t="shared" si="3"/>
        <v>8</v>
      </c>
    </row>
    <row r="36" spans="1:26" x14ac:dyDescent="0.25">
      <c r="A36">
        <v>35</v>
      </c>
      <c r="B36" s="13" t="s">
        <v>142</v>
      </c>
      <c r="C36" t="s">
        <v>89</v>
      </c>
      <c r="D36" t="s">
        <v>143</v>
      </c>
      <c r="E36" s="13" t="s">
        <v>53</v>
      </c>
      <c r="F36" t="s">
        <v>91</v>
      </c>
      <c r="G36">
        <v>4</v>
      </c>
      <c r="H36">
        <v>116</v>
      </c>
      <c r="I36" s="4">
        <f t="shared" si="0"/>
        <v>3</v>
      </c>
      <c r="J36" s="4">
        <v>0.05</v>
      </c>
      <c r="K36" t="s">
        <v>69</v>
      </c>
      <c r="L36" s="5">
        <v>46108</v>
      </c>
      <c r="M36">
        <v>4</v>
      </c>
      <c r="N36" t="str">
        <f t="shared" si="1"/>
        <v>2026</v>
      </c>
      <c r="O36" t="str">
        <f t="shared" si="2"/>
        <v>Mar</v>
      </c>
      <c r="P36">
        <v>4</v>
      </c>
      <c r="Q36" t="s">
        <v>63</v>
      </c>
      <c r="R36" t="s">
        <v>78</v>
      </c>
      <c r="S36" t="s">
        <v>58</v>
      </c>
      <c r="T36" t="s">
        <v>71</v>
      </c>
      <c r="U36" s="13">
        <v>8</v>
      </c>
      <c r="V36" s="13">
        <v>1</v>
      </c>
      <c r="W36" s="13">
        <v>1</v>
      </c>
      <c r="X36" s="13">
        <v>1</v>
      </c>
      <c r="Y36">
        <v>12</v>
      </c>
      <c r="Z36">
        <f t="shared" si="3"/>
        <v>11</v>
      </c>
    </row>
    <row r="37" spans="1:26" x14ac:dyDescent="0.25">
      <c r="A37">
        <v>36</v>
      </c>
      <c r="B37" s="13" t="s">
        <v>136</v>
      </c>
      <c r="C37" t="s">
        <v>89</v>
      </c>
      <c r="D37" t="s">
        <v>137</v>
      </c>
      <c r="E37" s="13" t="s">
        <v>53</v>
      </c>
      <c r="F37" t="s">
        <v>92</v>
      </c>
      <c r="G37">
        <v>4</v>
      </c>
      <c r="H37">
        <v>12</v>
      </c>
      <c r="I37" s="4">
        <f t="shared" si="0"/>
        <v>3</v>
      </c>
      <c r="J37" s="4">
        <v>0.05</v>
      </c>
      <c r="K37" t="s">
        <v>62</v>
      </c>
      <c r="L37" s="5">
        <v>45442</v>
      </c>
      <c r="M37">
        <v>1</v>
      </c>
      <c r="N37" t="str">
        <f t="shared" si="1"/>
        <v>2024</v>
      </c>
      <c r="O37" t="str">
        <f t="shared" si="2"/>
        <v>May</v>
      </c>
      <c r="P37">
        <v>4</v>
      </c>
      <c r="Q37" t="s">
        <v>63</v>
      </c>
      <c r="R37" t="s">
        <v>93</v>
      </c>
      <c r="S37" t="s">
        <v>58</v>
      </c>
      <c r="T37" t="s">
        <v>65</v>
      </c>
      <c r="U37" s="13">
        <v>4</v>
      </c>
      <c r="V37" s="13">
        <v>0</v>
      </c>
      <c r="W37" s="13">
        <v>4</v>
      </c>
      <c r="X37" s="13">
        <v>0</v>
      </c>
      <c r="Y37">
        <v>12</v>
      </c>
      <c r="Z37">
        <f t="shared" si="3"/>
        <v>8</v>
      </c>
    </row>
    <row r="38" spans="1:26" x14ac:dyDescent="0.25">
      <c r="A38">
        <v>37</v>
      </c>
      <c r="B38" s="13" t="s">
        <v>303</v>
      </c>
      <c r="C38" t="s">
        <v>89</v>
      </c>
      <c r="D38" t="s">
        <v>158</v>
      </c>
      <c r="E38" s="13" t="s">
        <v>53</v>
      </c>
      <c r="F38" t="s">
        <v>92</v>
      </c>
      <c r="G38">
        <v>4</v>
      </c>
      <c r="H38">
        <v>12</v>
      </c>
      <c r="I38" s="4">
        <f t="shared" si="0"/>
        <v>3</v>
      </c>
      <c r="J38" s="4">
        <v>0.05</v>
      </c>
      <c r="K38" t="s">
        <v>62</v>
      </c>
      <c r="L38" s="5">
        <v>45523</v>
      </c>
      <c r="M38">
        <v>2</v>
      </c>
      <c r="N38" t="str">
        <f t="shared" si="1"/>
        <v>2024</v>
      </c>
      <c r="O38" t="str">
        <f t="shared" si="2"/>
        <v>Aug</v>
      </c>
      <c r="P38">
        <v>4</v>
      </c>
      <c r="Q38" t="s">
        <v>63</v>
      </c>
      <c r="R38" t="s">
        <v>93</v>
      </c>
      <c r="S38" t="s">
        <v>58</v>
      </c>
      <c r="T38" t="s">
        <v>65</v>
      </c>
      <c r="U38" s="13">
        <v>5</v>
      </c>
      <c r="V38" s="13">
        <v>1</v>
      </c>
      <c r="W38" s="13">
        <v>1</v>
      </c>
      <c r="X38" s="13">
        <v>1</v>
      </c>
      <c r="Y38">
        <v>12</v>
      </c>
      <c r="Z38">
        <f t="shared" si="3"/>
        <v>8</v>
      </c>
    </row>
    <row r="39" spans="1:26" x14ac:dyDescent="0.25">
      <c r="A39">
        <v>38</v>
      </c>
      <c r="B39" s="13" t="s">
        <v>204</v>
      </c>
      <c r="C39" t="s">
        <v>89</v>
      </c>
      <c r="D39" t="s">
        <v>205</v>
      </c>
      <c r="E39" s="13" t="s">
        <v>53</v>
      </c>
      <c r="F39" t="s">
        <v>92</v>
      </c>
      <c r="G39">
        <v>4</v>
      </c>
      <c r="H39">
        <v>12</v>
      </c>
      <c r="I39" s="4">
        <f t="shared" si="0"/>
        <v>3</v>
      </c>
      <c r="J39" s="4">
        <v>0.05</v>
      </c>
      <c r="K39" t="s">
        <v>62</v>
      </c>
      <c r="L39" s="5">
        <v>45621</v>
      </c>
      <c r="M39">
        <v>3</v>
      </c>
      <c r="N39" t="str">
        <f t="shared" si="1"/>
        <v>2024</v>
      </c>
      <c r="O39" t="str">
        <f t="shared" si="2"/>
        <v>Nov</v>
      </c>
      <c r="P39">
        <v>4</v>
      </c>
      <c r="Q39" t="s">
        <v>63</v>
      </c>
      <c r="R39" t="s">
        <v>93</v>
      </c>
      <c r="S39" t="s">
        <v>58</v>
      </c>
      <c r="T39" t="s">
        <v>65</v>
      </c>
      <c r="U39" s="13">
        <v>8</v>
      </c>
      <c r="V39" s="13">
        <v>1</v>
      </c>
      <c r="W39" s="13">
        <v>0</v>
      </c>
      <c r="X39" s="13">
        <v>1</v>
      </c>
      <c r="Y39">
        <v>12</v>
      </c>
      <c r="Z39">
        <f t="shared" si="3"/>
        <v>10</v>
      </c>
    </row>
    <row r="40" spans="1:26" x14ac:dyDescent="0.25">
      <c r="A40">
        <v>39</v>
      </c>
      <c r="B40" s="13" t="s">
        <v>146</v>
      </c>
      <c r="C40" t="s">
        <v>89</v>
      </c>
      <c r="D40" t="s">
        <v>147</v>
      </c>
      <c r="E40" s="13" t="s">
        <v>53</v>
      </c>
      <c r="F40" t="s">
        <v>92</v>
      </c>
      <c r="G40">
        <v>4</v>
      </c>
      <c r="H40">
        <v>12</v>
      </c>
      <c r="I40" s="4">
        <f t="shared" si="0"/>
        <v>3</v>
      </c>
      <c r="J40" s="4">
        <v>0.05</v>
      </c>
      <c r="K40" t="s">
        <v>62</v>
      </c>
      <c r="L40" s="5">
        <v>45743</v>
      </c>
      <c r="M40">
        <v>4</v>
      </c>
      <c r="N40" t="str">
        <f t="shared" si="1"/>
        <v>2025</v>
      </c>
      <c r="O40" t="str">
        <f t="shared" si="2"/>
        <v>Mar</v>
      </c>
      <c r="P40">
        <v>4</v>
      </c>
      <c r="Q40" t="s">
        <v>63</v>
      </c>
      <c r="R40" t="s">
        <v>93</v>
      </c>
      <c r="S40" t="s">
        <v>58</v>
      </c>
      <c r="T40" t="s">
        <v>65</v>
      </c>
      <c r="U40" s="13">
        <v>8</v>
      </c>
      <c r="V40" s="13">
        <v>1</v>
      </c>
      <c r="W40" s="13">
        <v>1</v>
      </c>
      <c r="X40" s="13">
        <v>1</v>
      </c>
      <c r="Y40">
        <v>12</v>
      </c>
      <c r="Z40">
        <f t="shared" si="3"/>
        <v>11</v>
      </c>
    </row>
    <row r="41" spans="1:26" x14ac:dyDescent="0.25">
      <c r="A41">
        <v>40</v>
      </c>
      <c r="B41" s="13" t="s">
        <v>140</v>
      </c>
      <c r="C41" t="s">
        <v>89</v>
      </c>
      <c r="D41" t="s">
        <v>141</v>
      </c>
      <c r="E41" s="13" t="s">
        <v>53</v>
      </c>
      <c r="F41" t="s">
        <v>83</v>
      </c>
      <c r="G41">
        <v>3</v>
      </c>
      <c r="H41">
        <v>45</v>
      </c>
      <c r="I41" s="4">
        <f t="shared" si="0"/>
        <v>4</v>
      </c>
      <c r="J41" s="4">
        <v>0.05</v>
      </c>
      <c r="K41" t="s">
        <v>75</v>
      </c>
      <c r="L41" s="5">
        <v>46122</v>
      </c>
      <c r="M41">
        <v>1</v>
      </c>
      <c r="N41" t="str">
        <f t="shared" si="1"/>
        <v>2026</v>
      </c>
      <c r="O41" t="str">
        <f t="shared" si="2"/>
        <v>Apr</v>
      </c>
      <c r="P41">
        <v>3</v>
      </c>
      <c r="Q41" t="s">
        <v>56</v>
      </c>
      <c r="R41" t="s">
        <v>94</v>
      </c>
      <c r="S41" t="s">
        <v>95</v>
      </c>
      <c r="T41" t="s">
        <v>71</v>
      </c>
      <c r="U41" s="13">
        <v>5</v>
      </c>
      <c r="V41" s="13">
        <v>1</v>
      </c>
      <c r="W41" s="13">
        <v>0</v>
      </c>
      <c r="X41" s="13">
        <v>0</v>
      </c>
      <c r="Y41">
        <v>12</v>
      </c>
      <c r="Z41">
        <f t="shared" si="3"/>
        <v>6</v>
      </c>
    </row>
    <row r="42" spans="1:26" x14ac:dyDescent="0.25">
      <c r="A42">
        <v>41</v>
      </c>
      <c r="B42" s="13" t="s">
        <v>148</v>
      </c>
      <c r="C42" t="s">
        <v>89</v>
      </c>
      <c r="D42" t="s">
        <v>149</v>
      </c>
      <c r="E42" s="13" t="s">
        <v>53</v>
      </c>
      <c r="F42" t="s">
        <v>83</v>
      </c>
      <c r="G42">
        <v>3</v>
      </c>
      <c r="H42">
        <v>45</v>
      </c>
      <c r="I42" s="4">
        <f t="shared" si="0"/>
        <v>4</v>
      </c>
      <c r="J42" s="4">
        <v>0.05</v>
      </c>
      <c r="K42" t="s">
        <v>75</v>
      </c>
      <c r="L42" s="5">
        <v>46246</v>
      </c>
      <c r="M42">
        <v>2</v>
      </c>
      <c r="N42" t="str">
        <f t="shared" si="1"/>
        <v>2026</v>
      </c>
      <c r="O42" t="str">
        <f t="shared" si="2"/>
        <v>Aug</v>
      </c>
      <c r="P42">
        <v>3</v>
      </c>
      <c r="Q42" t="s">
        <v>56</v>
      </c>
      <c r="R42" t="s">
        <v>94</v>
      </c>
      <c r="S42" t="s">
        <v>95</v>
      </c>
      <c r="T42" t="s">
        <v>71</v>
      </c>
      <c r="U42" s="13">
        <v>4</v>
      </c>
      <c r="V42" s="13">
        <v>0</v>
      </c>
      <c r="W42" s="13">
        <v>4</v>
      </c>
      <c r="X42" s="13">
        <v>0</v>
      </c>
      <c r="Y42">
        <v>12</v>
      </c>
      <c r="Z42">
        <f t="shared" si="3"/>
        <v>8</v>
      </c>
    </row>
    <row r="43" spans="1:26" x14ac:dyDescent="0.25">
      <c r="A43">
        <v>42</v>
      </c>
      <c r="B43" s="13" t="s">
        <v>187</v>
      </c>
      <c r="C43" t="s">
        <v>89</v>
      </c>
      <c r="D43" t="s">
        <v>188</v>
      </c>
      <c r="E43" s="13" t="s">
        <v>53</v>
      </c>
      <c r="F43" t="s">
        <v>83</v>
      </c>
      <c r="G43">
        <v>3</v>
      </c>
      <c r="H43">
        <v>45</v>
      </c>
      <c r="I43" s="4">
        <f t="shared" si="0"/>
        <v>4</v>
      </c>
      <c r="J43" s="4">
        <v>0.05</v>
      </c>
      <c r="K43" t="s">
        <v>75</v>
      </c>
      <c r="L43" s="5">
        <v>46366</v>
      </c>
      <c r="M43">
        <v>3</v>
      </c>
      <c r="N43" t="str">
        <f t="shared" si="1"/>
        <v>2026</v>
      </c>
      <c r="O43" t="str">
        <f t="shared" si="2"/>
        <v>Dec</v>
      </c>
      <c r="P43">
        <v>3</v>
      </c>
      <c r="Q43" t="s">
        <v>56</v>
      </c>
      <c r="R43" t="s">
        <v>94</v>
      </c>
      <c r="S43" t="s">
        <v>95</v>
      </c>
      <c r="T43" t="s">
        <v>71</v>
      </c>
      <c r="U43" s="13">
        <v>7</v>
      </c>
      <c r="V43" s="13">
        <v>0</v>
      </c>
      <c r="W43" s="13">
        <v>7</v>
      </c>
      <c r="X43" s="13">
        <v>0</v>
      </c>
      <c r="Y43">
        <v>12</v>
      </c>
      <c r="Z43">
        <f t="shared" si="3"/>
        <v>14</v>
      </c>
    </row>
    <row r="44" spans="1:26" x14ac:dyDescent="0.25">
      <c r="A44">
        <v>43</v>
      </c>
      <c r="B44" s="13" t="s">
        <v>237</v>
      </c>
      <c r="C44" t="s">
        <v>89</v>
      </c>
      <c r="D44" t="s">
        <v>238</v>
      </c>
      <c r="E44" s="13" t="s">
        <v>53</v>
      </c>
      <c r="F44" t="s">
        <v>96</v>
      </c>
      <c r="G44">
        <v>3</v>
      </c>
      <c r="H44">
        <v>24</v>
      </c>
      <c r="I44" s="4">
        <f t="shared" si="0"/>
        <v>4</v>
      </c>
      <c r="J44" s="4">
        <v>0.05</v>
      </c>
      <c r="K44" t="s">
        <v>62</v>
      </c>
      <c r="L44" s="5">
        <v>45809</v>
      </c>
      <c r="M44">
        <v>1</v>
      </c>
      <c r="N44" t="str">
        <f t="shared" si="1"/>
        <v>2025</v>
      </c>
      <c r="O44" t="str">
        <f t="shared" si="2"/>
        <v>Jun</v>
      </c>
      <c r="P44">
        <v>3</v>
      </c>
      <c r="Q44" t="s">
        <v>56</v>
      </c>
      <c r="R44" t="s">
        <v>97</v>
      </c>
      <c r="S44" t="s">
        <v>58</v>
      </c>
      <c r="T44" t="s">
        <v>71</v>
      </c>
      <c r="U44" s="13">
        <v>10</v>
      </c>
      <c r="V44" s="13">
        <v>2</v>
      </c>
      <c r="W44" s="13">
        <v>1</v>
      </c>
      <c r="X44" s="13">
        <v>0</v>
      </c>
      <c r="Y44">
        <v>12</v>
      </c>
      <c r="Z44">
        <f t="shared" si="3"/>
        <v>13</v>
      </c>
    </row>
    <row r="45" spans="1:26" x14ac:dyDescent="0.25">
      <c r="A45">
        <v>44</v>
      </c>
      <c r="B45" s="13" t="s">
        <v>207</v>
      </c>
      <c r="C45" t="s">
        <v>89</v>
      </c>
      <c r="D45" t="s">
        <v>208</v>
      </c>
      <c r="E45" s="13" t="s">
        <v>53</v>
      </c>
      <c r="F45" t="s">
        <v>96</v>
      </c>
      <c r="G45">
        <v>3</v>
      </c>
      <c r="H45">
        <v>24</v>
      </c>
      <c r="I45" s="4">
        <f t="shared" si="0"/>
        <v>4</v>
      </c>
      <c r="J45" s="4">
        <v>0.05</v>
      </c>
      <c r="K45" t="s">
        <v>62</v>
      </c>
      <c r="L45" s="5">
        <v>45917</v>
      </c>
      <c r="M45">
        <v>2</v>
      </c>
      <c r="N45" t="str">
        <f t="shared" si="1"/>
        <v>2025</v>
      </c>
      <c r="O45" t="str">
        <f t="shared" si="2"/>
        <v>Sep</v>
      </c>
      <c r="P45">
        <v>3</v>
      </c>
      <c r="Q45" t="s">
        <v>56</v>
      </c>
      <c r="R45" t="s">
        <v>97</v>
      </c>
      <c r="S45" t="s">
        <v>58</v>
      </c>
      <c r="T45" t="s">
        <v>71</v>
      </c>
      <c r="U45" s="13">
        <v>9</v>
      </c>
      <c r="V45" s="13">
        <v>1</v>
      </c>
      <c r="W45" s="13">
        <v>1</v>
      </c>
      <c r="X45" s="13">
        <v>1</v>
      </c>
      <c r="Y45">
        <v>12</v>
      </c>
      <c r="Z45">
        <f t="shared" si="3"/>
        <v>12</v>
      </c>
    </row>
    <row r="46" spans="1:26" x14ac:dyDescent="0.25">
      <c r="A46">
        <v>45</v>
      </c>
      <c r="B46" s="13" t="s">
        <v>191</v>
      </c>
      <c r="C46" t="s">
        <v>89</v>
      </c>
      <c r="D46" t="s">
        <v>192</v>
      </c>
      <c r="E46" s="13" t="s">
        <v>53</v>
      </c>
      <c r="F46" t="s">
        <v>96</v>
      </c>
      <c r="G46">
        <v>3</v>
      </c>
      <c r="H46">
        <v>24</v>
      </c>
      <c r="I46" s="4">
        <f t="shared" si="0"/>
        <v>4</v>
      </c>
      <c r="J46" s="4">
        <v>0.05</v>
      </c>
      <c r="K46" t="s">
        <v>62</v>
      </c>
      <c r="L46" s="5">
        <v>46045</v>
      </c>
      <c r="M46">
        <v>3</v>
      </c>
      <c r="N46" t="str">
        <f t="shared" si="1"/>
        <v>2026</v>
      </c>
      <c r="O46" t="str">
        <f t="shared" si="2"/>
        <v>Jan</v>
      </c>
      <c r="P46">
        <v>3</v>
      </c>
      <c r="Q46" t="s">
        <v>56</v>
      </c>
      <c r="R46" t="s">
        <v>97</v>
      </c>
      <c r="S46" t="s">
        <v>58</v>
      </c>
      <c r="T46" t="s">
        <v>71</v>
      </c>
      <c r="U46" s="13">
        <v>4</v>
      </c>
      <c r="V46" s="13">
        <v>1</v>
      </c>
      <c r="W46" s="13">
        <v>1</v>
      </c>
      <c r="X46" s="13">
        <v>0</v>
      </c>
      <c r="Y46">
        <v>12</v>
      </c>
      <c r="Z46">
        <f t="shared" si="3"/>
        <v>6</v>
      </c>
    </row>
    <row r="47" spans="1:26" x14ac:dyDescent="0.25">
      <c r="A47">
        <v>46</v>
      </c>
      <c r="B47" s="13" t="s">
        <v>209</v>
      </c>
      <c r="C47" t="s">
        <v>89</v>
      </c>
      <c r="D47" t="s">
        <v>210</v>
      </c>
      <c r="E47" s="13" t="s">
        <v>53</v>
      </c>
      <c r="F47" t="s">
        <v>98</v>
      </c>
      <c r="G47">
        <v>3</v>
      </c>
      <c r="H47">
        <v>3</v>
      </c>
      <c r="I47" s="4">
        <f t="shared" si="0"/>
        <v>4</v>
      </c>
      <c r="J47" s="4">
        <v>0.05</v>
      </c>
      <c r="K47" t="s">
        <v>62</v>
      </c>
      <c r="L47" s="5">
        <v>45540</v>
      </c>
      <c r="M47">
        <v>1</v>
      </c>
      <c r="N47" t="str">
        <f t="shared" si="1"/>
        <v>2024</v>
      </c>
      <c r="O47" t="str">
        <f t="shared" si="2"/>
        <v>Sep</v>
      </c>
      <c r="P47">
        <v>3</v>
      </c>
      <c r="Q47" t="s">
        <v>63</v>
      </c>
      <c r="R47" t="s">
        <v>93</v>
      </c>
      <c r="S47" t="s">
        <v>58</v>
      </c>
      <c r="T47" t="s">
        <v>71</v>
      </c>
      <c r="U47" s="13">
        <v>8</v>
      </c>
      <c r="V47" s="13">
        <v>1</v>
      </c>
      <c r="W47" s="13">
        <v>1</v>
      </c>
      <c r="X47" s="13">
        <v>1</v>
      </c>
      <c r="Y47">
        <v>12</v>
      </c>
      <c r="Z47">
        <f t="shared" si="3"/>
        <v>11</v>
      </c>
    </row>
    <row r="48" spans="1:26" x14ac:dyDescent="0.25">
      <c r="A48">
        <v>47</v>
      </c>
      <c r="B48" s="13" t="s">
        <v>227</v>
      </c>
      <c r="C48" t="s">
        <v>89</v>
      </c>
      <c r="D48" t="s">
        <v>228</v>
      </c>
      <c r="E48" s="13" t="s">
        <v>53</v>
      </c>
      <c r="F48" t="s">
        <v>98</v>
      </c>
      <c r="G48">
        <v>3</v>
      </c>
      <c r="H48">
        <v>3</v>
      </c>
      <c r="I48" s="4">
        <f t="shared" si="0"/>
        <v>4</v>
      </c>
      <c r="J48" s="4">
        <v>0.05</v>
      </c>
      <c r="K48" t="s">
        <v>62</v>
      </c>
      <c r="L48" s="5">
        <v>45713</v>
      </c>
      <c r="M48">
        <v>2</v>
      </c>
      <c r="N48" t="str">
        <f t="shared" si="1"/>
        <v>2025</v>
      </c>
      <c r="O48" t="str">
        <f t="shared" si="2"/>
        <v>Feb</v>
      </c>
      <c r="P48">
        <v>3</v>
      </c>
      <c r="Q48" t="s">
        <v>63</v>
      </c>
      <c r="R48" t="s">
        <v>93</v>
      </c>
      <c r="S48" t="s">
        <v>58</v>
      </c>
      <c r="T48" t="s">
        <v>71</v>
      </c>
      <c r="U48" s="13">
        <v>17</v>
      </c>
      <c r="V48" s="13">
        <v>4</v>
      </c>
      <c r="W48" s="13">
        <v>0</v>
      </c>
      <c r="X48" s="13">
        <v>0</v>
      </c>
      <c r="Y48">
        <v>12</v>
      </c>
      <c r="Z48">
        <f t="shared" si="3"/>
        <v>21</v>
      </c>
    </row>
    <row r="49" spans="1:26" x14ac:dyDescent="0.25">
      <c r="A49">
        <v>48</v>
      </c>
      <c r="B49" s="13" t="s">
        <v>189</v>
      </c>
      <c r="C49" t="s">
        <v>89</v>
      </c>
      <c r="D49" t="s">
        <v>190</v>
      </c>
      <c r="E49" s="13" t="s">
        <v>53</v>
      </c>
      <c r="F49" t="s">
        <v>98</v>
      </c>
      <c r="G49">
        <v>3</v>
      </c>
      <c r="H49">
        <v>3</v>
      </c>
      <c r="I49" s="4">
        <f t="shared" si="0"/>
        <v>4</v>
      </c>
      <c r="J49" s="4">
        <v>0.05</v>
      </c>
      <c r="K49" t="s">
        <v>62</v>
      </c>
      <c r="L49" s="5">
        <v>45783</v>
      </c>
      <c r="M49">
        <v>3</v>
      </c>
      <c r="N49" t="str">
        <f t="shared" si="1"/>
        <v>2025</v>
      </c>
      <c r="O49" t="str">
        <f t="shared" si="2"/>
        <v>May</v>
      </c>
      <c r="P49">
        <v>3</v>
      </c>
      <c r="Q49" t="s">
        <v>63</v>
      </c>
      <c r="R49" t="s">
        <v>93</v>
      </c>
      <c r="S49" t="s">
        <v>58</v>
      </c>
      <c r="T49" t="s">
        <v>71</v>
      </c>
      <c r="U49" s="13">
        <v>6</v>
      </c>
      <c r="V49" s="13">
        <v>0</v>
      </c>
      <c r="W49" s="13">
        <v>6</v>
      </c>
      <c r="X49" s="13">
        <v>0</v>
      </c>
      <c r="Y49">
        <v>12</v>
      </c>
      <c r="Z49">
        <f t="shared" si="3"/>
        <v>12</v>
      </c>
    </row>
    <row r="50" spans="1:26" x14ac:dyDescent="0.25">
      <c r="A50" s="6">
        <v>49</v>
      </c>
      <c r="B50" s="13" t="s">
        <v>202</v>
      </c>
      <c r="C50" t="s">
        <v>89</v>
      </c>
      <c r="D50" t="s">
        <v>203</v>
      </c>
      <c r="E50" s="13" t="s">
        <v>53</v>
      </c>
      <c r="F50" t="s">
        <v>99</v>
      </c>
      <c r="G50">
        <v>4</v>
      </c>
      <c r="H50">
        <v>7</v>
      </c>
      <c r="I50" s="4">
        <f t="shared" si="0"/>
        <v>3</v>
      </c>
      <c r="J50" s="4">
        <v>0.05</v>
      </c>
      <c r="K50" t="s">
        <v>100</v>
      </c>
      <c r="L50" s="5">
        <v>45996</v>
      </c>
      <c r="M50">
        <v>1</v>
      </c>
      <c r="N50" t="str">
        <f t="shared" si="1"/>
        <v>2025</v>
      </c>
      <c r="O50" t="str">
        <f t="shared" si="2"/>
        <v>Dec</v>
      </c>
      <c r="P50">
        <v>4</v>
      </c>
      <c r="Q50" t="s">
        <v>101</v>
      </c>
      <c r="R50" t="s">
        <v>102</v>
      </c>
      <c r="S50" t="s">
        <v>84</v>
      </c>
      <c r="T50" t="s">
        <v>71</v>
      </c>
      <c r="U50" s="13">
        <v>4</v>
      </c>
      <c r="V50" s="13">
        <v>0</v>
      </c>
      <c r="W50" s="13">
        <v>4</v>
      </c>
      <c r="X50" s="13">
        <v>0</v>
      </c>
      <c r="Y50">
        <v>12</v>
      </c>
      <c r="Z50">
        <f t="shared" si="3"/>
        <v>8</v>
      </c>
    </row>
    <row r="51" spans="1:26" x14ac:dyDescent="0.25">
      <c r="A51">
        <v>50</v>
      </c>
      <c r="B51" s="13" t="s">
        <v>156</v>
      </c>
      <c r="C51" t="s">
        <v>89</v>
      </c>
      <c r="D51" t="s">
        <v>157</v>
      </c>
      <c r="E51" s="13" t="s">
        <v>53</v>
      </c>
      <c r="F51" t="s">
        <v>99</v>
      </c>
      <c r="G51">
        <v>4</v>
      </c>
      <c r="H51">
        <v>7</v>
      </c>
      <c r="I51" s="4">
        <f t="shared" si="0"/>
        <v>3</v>
      </c>
      <c r="J51" s="4">
        <v>0.05</v>
      </c>
      <c r="K51" t="s">
        <v>100</v>
      </c>
      <c r="L51" s="5">
        <v>46101</v>
      </c>
      <c r="M51">
        <v>2</v>
      </c>
      <c r="N51" t="str">
        <f t="shared" si="1"/>
        <v>2026</v>
      </c>
      <c r="O51" t="str">
        <f t="shared" si="2"/>
        <v>Mar</v>
      </c>
      <c r="P51">
        <v>4</v>
      </c>
      <c r="Q51" t="s">
        <v>101</v>
      </c>
      <c r="R51" t="s">
        <v>102</v>
      </c>
      <c r="S51" t="s">
        <v>84</v>
      </c>
      <c r="T51" t="s">
        <v>71</v>
      </c>
      <c r="U51" s="13">
        <v>9</v>
      </c>
      <c r="V51" s="13">
        <v>1</v>
      </c>
      <c r="W51" s="13">
        <v>1</v>
      </c>
      <c r="X51" s="13">
        <v>1</v>
      </c>
      <c r="Y51">
        <v>12</v>
      </c>
      <c r="Z51">
        <f t="shared" si="3"/>
        <v>12</v>
      </c>
    </row>
    <row r="52" spans="1:26" x14ac:dyDescent="0.25">
      <c r="A52">
        <v>51</v>
      </c>
      <c r="B52" s="13" t="s">
        <v>154</v>
      </c>
      <c r="C52" t="s">
        <v>89</v>
      </c>
      <c r="D52" t="s">
        <v>155</v>
      </c>
      <c r="E52" s="13" t="s">
        <v>53</v>
      </c>
      <c r="F52" t="s">
        <v>99</v>
      </c>
      <c r="G52">
        <v>4</v>
      </c>
      <c r="H52">
        <v>7</v>
      </c>
      <c r="I52" s="4">
        <f t="shared" si="0"/>
        <v>3</v>
      </c>
      <c r="J52" s="4">
        <v>0.05</v>
      </c>
      <c r="K52" t="s">
        <v>100</v>
      </c>
      <c r="L52" s="5">
        <v>46184</v>
      </c>
      <c r="M52">
        <v>3</v>
      </c>
      <c r="N52" t="str">
        <f t="shared" si="1"/>
        <v>2026</v>
      </c>
      <c r="O52" t="str">
        <f t="shared" si="2"/>
        <v>Jun</v>
      </c>
      <c r="P52">
        <v>4</v>
      </c>
      <c r="Q52" t="s">
        <v>101</v>
      </c>
      <c r="R52" t="s">
        <v>102</v>
      </c>
      <c r="S52" t="s">
        <v>84</v>
      </c>
      <c r="T52" t="s">
        <v>71</v>
      </c>
      <c r="U52" s="13">
        <v>7</v>
      </c>
      <c r="V52" s="13">
        <v>1</v>
      </c>
      <c r="W52" s="13">
        <v>0</v>
      </c>
      <c r="X52" s="13">
        <v>0</v>
      </c>
      <c r="Y52">
        <v>12</v>
      </c>
      <c r="Z52">
        <f t="shared" si="3"/>
        <v>8</v>
      </c>
    </row>
    <row r="53" spans="1:26" x14ac:dyDescent="0.25">
      <c r="A53">
        <v>52</v>
      </c>
      <c r="B53" s="13" t="s">
        <v>179</v>
      </c>
      <c r="C53" t="s">
        <v>89</v>
      </c>
      <c r="D53" t="s">
        <v>180</v>
      </c>
      <c r="E53" s="13" t="s">
        <v>53</v>
      </c>
      <c r="F53" t="s">
        <v>99</v>
      </c>
      <c r="G53">
        <v>4</v>
      </c>
      <c r="H53">
        <v>7</v>
      </c>
      <c r="I53" s="4">
        <f t="shared" si="0"/>
        <v>3</v>
      </c>
      <c r="J53" s="4">
        <v>0.05</v>
      </c>
      <c r="K53" t="s">
        <v>100</v>
      </c>
      <c r="L53" s="5">
        <v>46284</v>
      </c>
      <c r="M53">
        <v>4</v>
      </c>
      <c r="N53" t="str">
        <f t="shared" si="1"/>
        <v>2026</v>
      </c>
      <c r="O53" t="str">
        <f t="shared" si="2"/>
        <v>Sep</v>
      </c>
      <c r="P53">
        <v>4</v>
      </c>
      <c r="Q53" t="s">
        <v>101</v>
      </c>
      <c r="R53" t="s">
        <v>102</v>
      </c>
      <c r="S53" t="s">
        <v>84</v>
      </c>
      <c r="T53" t="s">
        <v>71</v>
      </c>
      <c r="U53" s="13">
        <v>15</v>
      </c>
      <c r="V53" s="13">
        <v>4</v>
      </c>
      <c r="W53" s="13">
        <v>1</v>
      </c>
      <c r="X53" s="13">
        <v>2</v>
      </c>
      <c r="Y53">
        <v>12</v>
      </c>
      <c r="Z53">
        <f t="shared" si="3"/>
        <v>22</v>
      </c>
    </row>
    <row r="54" spans="1:26" x14ac:dyDescent="0.25">
      <c r="A54">
        <v>53</v>
      </c>
      <c r="B54" s="13" t="s">
        <v>211</v>
      </c>
      <c r="C54" t="s">
        <v>89</v>
      </c>
      <c r="D54" t="s">
        <v>212</v>
      </c>
      <c r="E54" s="13" t="s">
        <v>53</v>
      </c>
      <c r="F54" t="s">
        <v>99</v>
      </c>
      <c r="G54">
        <v>3</v>
      </c>
      <c r="H54">
        <v>28</v>
      </c>
      <c r="I54" s="4">
        <f t="shared" si="0"/>
        <v>4</v>
      </c>
      <c r="J54" s="4">
        <v>0.05</v>
      </c>
      <c r="K54" t="s">
        <v>100</v>
      </c>
      <c r="L54" s="5">
        <v>46035</v>
      </c>
      <c r="M54">
        <v>1</v>
      </c>
      <c r="N54" t="str">
        <f t="shared" si="1"/>
        <v>2026</v>
      </c>
      <c r="O54" t="str">
        <f t="shared" si="2"/>
        <v>Jan</v>
      </c>
      <c r="P54">
        <v>3</v>
      </c>
      <c r="Q54" t="s">
        <v>101</v>
      </c>
      <c r="R54" t="s">
        <v>94</v>
      </c>
      <c r="S54" t="s">
        <v>58</v>
      </c>
      <c r="T54" t="s">
        <v>103</v>
      </c>
      <c r="U54" s="13">
        <v>3</v>
      </c>
      <c r="V54" s="13">
        <v>1</v>
      </c>
      <c r="W54" s="13">
        <v>0</v>
      </c>
      <c r="X54" s="13">
        <v>0</v>
      </c>
      <c r="Y54">
        <v>12</v>
      </c>
      <c r="Z54">
        <f t="shared" si="3"/>
        <v>4</v>
      </c>
    </row>
    <row r="55" spans="1:26" x14ac:dyDescent="0.25">
      <c r="A55">
        <v>54</v>
      </c>
      <c r="B55" s="13" t="s">
        <v>177</v>
      </c>
      <c r="C55" t="s">
        <v>89</v>
      </c>
      <c r="D55" t="s">
        <v>178</v>
      </c>
      <c r="E55" s="13" t="s">
        <v>53</v>
      </c>
      <c r="F55" t="s">
        <v>99</v>
      </c>
      <c r="G55">
        <v>3</v>
      </c>
      <c r="H55">
        <v>28</v>
      </c>
      <c r="I55" s="4">
        <f t="shared" si="0"/>
        <v>4</v>
      </c>
      <c r="J55" s="4">
        <v>0.05</v>
      </c>
      <c r="K55" t="s">
        <v>100</v>
      </c>
      <c r="L55" s="5">
        <v>46132</v>
      </c>
      <c r="M55">
        <v>2</v>
      </c>
      <c r="N55" t="str">
        <f t="shared" si="1"/>
        <v>2026</v>
      </c>
      <c r="O55" t="str">
        <f t="shared" si="2"/>
        <v>Apr</v>
      </c>
      <c r="P55">
        <v>3</v>
      </c>
      <c r="Q55" t="s">
        <v>101</v>
      </c>
      <c r="R55" t="s">
        <v>94</v>
      </c>
      <c r="S55" t="s">
        <v>58</v>
      </c>
      <c r="T55" t="s">
        <v>103</v>
      </c>
      <c r="U55" s="13">
        <v>4</v>
      </c>
      <c r="V55" s="13">
        <v>0</v>
      </c>
      <c r="W55" s="13">
        <v>4</v>
      </c>
      <c r="X55" s="13">
        <v>0</v>
      </c>
      <c r="Y55">
        <v>12</v>
      </c>
      <c r="Z55">
        <f t="shared" si="3"/>
        <v>8</v>
      </c>
    </row>
    <row r="56" spans="1:26" x14ac:dyDescent="0.25">
      <c r="A56">
        <v>55</v>
      </c>
      <c r="B56" s="13" t="s">
        <v>152</v>
      </c>
      <c r="C56" t="s">
        <v>89</v>
      </c>
      <c r="D56" t="s">
        <v>153</v>
      </c>
      <c r="E56" s="13" t="s">
        <v>53</v>
      </c>
      <c r="F56" t="s">
        <v>99</v>
      </c>
      <c r="G56">
        <v>3</v>
      </c>
      <c r="H56">
        <v>28</v>
      </c>
      <c r="I56" s="4">
        <f t="shared" si="0"/>
        <v>4</v>
      </c>
      <c r="J56" s="4">
        <v>0.05</v>
      </c>
      <c r="K56" t="s">
        <v>100</v>
      </c>
      <c r="L56" s="5">
        <v>46223</v>
      </c>
      <c r="M56">
        <v>3</v>
      </c>
      <c r="N56" t="str">
        <f t="shared" si="1"/>
        <v>2026</v>
      </c>
      <c r="O56" t="str">
        <f t="shared" si="2"/>
        <v>Jul</v>
      </c>
      <c r="P56">
        <v>3</v>
      </c>
      <c r="Q56" t="s">
        <v>101</v>
      </c>
      <c r="R56" t="s">
        <v>94</v>
      </c>
      <c r="S56" t="s">
        <v>58</v>
      </c>
      <c r="T56" t="s">
        <v>103</v>
      </c>
      <c r="U56" s="13">
        <v>8</v>
      </c>
      <c r="V56" s="13">
        <v>1</v>
      </c>
      <c r="W56" s="13">
        <v>1</v>
      </c>
      <c r="X56" s="13">
        <v>1</v>
      </c>
      <c r="Y56">
        <v>12</v>
      </c>
      <c r="Z56">
        <f t="shared" si="3"/>
        <v>11</v>
      </c>
    </row>
    <row r="57" spans="1:26" x14ac:dyDescent="0.25">
      <c r="A57">
        <v>56</v>
      </c>
      <c r="B57" s="13" t="s">
        <v>217</v>
      </c>
      <c r="C57" t="s">
        <v>89</v>
      </c>
      <c r="D57" t="s">
        <v>218</v>
      </c>
      <c r="E57" s="13" t="s">
        <v>53</v>
      </c>
      <c r="F57" t="s">
        <v>104</v>
      </c>
      <c r="G57">
        <v>3</v>
      </c>
      <c r="H57">
        <v>30</v>
      </c>
      <c r="I57" s="4">
        <f t="shared" si="0"/>
        <v>4</v>
      </c>
      <c r="J57" s="4">
        <v>0.05</v>
      </c>
      <c r="K57" t="s">
        <v>62</v>
      </c>
      <c r="L57" s="5">
        <v>45692</v>
      </c>
      <c r="M57">
        <v>1</v>
      </c>
      <c r="N57" t="str">
        <f t="shared" si="1"/>
        <v>2025</v>
      </c>
      <c r="O57" t="str">
        <f t="shared" si="2"/>
        <v>Feb</v>
      </c>
      <c r="P57">
        <v>3</v>
      </c>
      <c r="Q57" t="s">
        <v>56</v>
      </c>
      <c r="R57" t="s">
        <v>64</v>
      </c>
      <c r="S57" t="s">
        <v>95</v>
      </c>
      <c r="T57" t="s">
        <v>71</v>
      </c>
      <c r="U57" s="13">
        <v>9</v>
      </c>
      <c r="V57" s="13">
        <v>1</v>
      </c>
      <c r="W57" s="13">
        <v>1</v>
      </c>
      <c r="X57" s="13">
        <v>1</v>
      </c>
      <c r="Y57">
        <v>12</v>
      </c>
      <c r="Z57">
        <f t="shared" si="3"/>
        <v>12</v>
      </c>
    </row>
    <row r="58" spans="1:26" x14ac:dyDescent="0.25">
      <c r="A58">
        <v>57</v>
      </c>
      <c r="B58" s="13" t="s">
        <v>219</v>
      </c>
      <c r="C58" t="s">
        <v>89</v>
      </c>
      <c r="D58" t="s">
        <v>220</v>
      </c>
      <c r="E58" s="13" t="s">
        <v>53</v>
      </c>
      <c r="F58" t="s">
        <v>104</v>
      </c>
      <c r="G58">
        <v>3</v>
      </c>
      <c r="H58">
        <v>30</v>
      </c>
      <c r="I58" s="4">
        <f t="shared" si="0"/>
        <v>4</v>
      </c>
      <c r="J58" s="4">
        <v>0.05</v>
      </c>
      <c r="K58" t="s">
        <v>62</v>
      </c>
      <c r="L58" s="5">
        <v>45796</v>
      </c>
      <c r="M58">
        <v>2</v>
      </c>
      <c r="N58" t="str">
        <f t="shared" si="1"/>
        <v>2025</v>
      </c>
      <c r="O58" t="str">
        <f t="shared" si="2"/>
        <v>May</v>
      </c>
      <c r="P58">
        <v>3</v>
      </c>
      <c r="Q58" t="s">
        <v>56</v>
      </c>
      <c r="R58" t="s">
        <v>64</v>
      </c>
      <c r="S58" t="s">
        <v>95</v>
      </c>
      <c r="T58" t="s">
        <v>71</v>
      </c>
      <c r="U58" s="13">
        <v>5</v>
      </c>
      <c r="V58" s="13">
        <v>0</v>
      </c>
      <c r="W58" s="13">
        <v>5</v>
      </c>
      <c r="X58" s="13">
        <v>0</v>
      </c>
      <c r="Y58">
        <v>12</v>
      </c>
      <c r="Z58">
        <f t="shared" si="3"/>
        <v>10</v>
      </c>
    </row>
    <row r="59" spans="1:26" x14ac:dyDescent="0.25">
      <c r="A59">
        <v>58</v>
      </c>
      <c r="B59" s="13" t="s">
        <v>304</v>
      </c>
      <c r="C59" t="s">
        <v>89</v>
      </c>
      <c r="D59" t="s">
        <v>206</v>
      </c>
      <c r="E59" s="13" t="s">
        <v>53</v>
      </c>
      <c r="F59" t="s">
        <v>104</v>
      </c>
      <c r="G59">
        <v>3</v>
      </c>
      <c r="H59">
        <v>30</v>
      </c>
      <c r="I59" s="4">
        <f t="shared" si="0"/>
        <v>4</v>
      </c>
      <c r="J59" s="4">
        <v>0.05</v>
      </c>
      <c r="K59" t="s">
        <v>62</v>
      </c>
      <c r="L59" s="5">
        <v>45905</v>
      </c>
      <c r="M59">
        <v>3</v>
      </c>
      <c r="N59" t="str">
        <f t="shared" si="1"/>
        <v>2025</v>
      </c>
      <c r="O59" t="str">
        <f t="shared" si="2"/>
        <v>Sep</v>
      </c>
      <c r="P59">
        <v>3</v>
      </c>
      <c r="Q59" t="s">
        <v>56</v>
      </c>
      <c r="R59" t="s">
        <v>64</v>
      </c>
      <c r="S59" t="s">
        <v>95</v>
      </c>
      <c r="T59" t="s">
        <v>71</v>
      </c>
      <c r="U59" s="13">
        <v>4</v>
      </c>
      <c r="V59" s="13">
        <v>0</v>
      </c>
      <c r="W59" s="13">
        <v>4</v>
      </c>
      <c r="X59" s="13">
        <v>0</v>
      </c>
      <c r="Y59">
        <v>12</v>
      </c>
      <c r="Z59">
        <f t="shared" si="3"/>
        <v>8</v>
      </c>
    </row>
    <row r="60" spans="1:26" x14ac:dyDescent="0.25">
      <c r="A60">
        <v>59</v>
      </c>
      <c r="B60" s="13" t="s">
        <v>134</v>
      </c>
      <c r="C60" t="s">
        <v>89</v>
      </c>
      <c r="D60" t="s">
        <v>135</v>
      </c>
      <c r="E60" s="13" t="s">
        <v>53</v>
      </c>
      <c r="F60" t="s">
        <v>105</v>
      </c>
      <c r="G60">
        <v>2</v>
      </c>
      <c r="H60">
        <v>20</v>
      </c>
      <c r="I60" s="4">
        <f t="shared" si="0"/>
        <v>6</v>
      </c>
      <c r="J60" s="4">
        <v>0.05</v>
      </c>
      <c r="K60" t="s">
        <v>55</v>
      </c>
      <c r="L60" s="5">
        <v>45770</v>
      </c>
      <c r="M60">
        <v>1</v>
      </c>
      <c r="N60" t="str">
        <f t="shared" si="1"/>
        <v>2025</v>
      </c>
      <c r="O60" t="str">
        <f t="shared" si="2"/>
        <v>Apr</v>
      </c>
      <c r="P60">
        <v>2</v>
      </c>
      <c r="Q60" t="s">
        <v>56</v>
      </c>
      <c r="R60" t="s">
        <v>94</v>
      </c>
      <c r="T60" t="s">
        <v>71</v>
      </c>
      <c r="U60" s="13">
        <v>11</v>
      </c>
      <c r="V60" s="13">
        <v>4</v>
      </c>
      <c r="W60" s="13">
        <v>5</v>
      </c>
      <c r="X60" s="13">
        <v>0</v>
      </c>
      <c r="Y60">
        <v>12</v>
      </c>
      <c r="Z60">
        <f t="shared" si="3"/>
        <v>20</v>
      </c>
    </row>
    <row r="61" spans="1:26" x14ac:dyDescent="0.25">
      <c r="A61">
        <v>60</v>
      </c>
      <c r="B61" s="13" t="s">
        <v>215</v>
      </c>
      <c r="C61" t="s">
        <v>89</v>
      </c>
      <c r="D61" t="s">
        <v>216</v>
      </c>
      <c r="E61" s="13" t="s">
        <v>53</v>
      </c>
      <c r="F61" t="s">
        <v>105</v>
      </c>
      <c r="G61">
        <v>2</v>
      </c>
      <c r="H61">
        <v>20</v>
      </c>
      <c r="I61" s="4">
        <f t="shared" si="0"/>
        <v>6</v>
      </c>
      <c r="J61" s="4">
        <v>0.05</v>
      </c>
      <c r="K61" t="s">
        <v>55</v>
      </c>
      <c r="L61" s="5">
        <v>46041</v>
      </c>
      <c r="M61">
        <v>2</v>
      </c>
      <c r="N61" t="str">
        <f t="shared" si="1"/>
        <v>2026</v>
      </c>
      <c r="O61" t="str">
        <f t="shared" si="2"/>
        <v>Jan</v>
      </c>
      <c r="P61">
        <v>2</v>
      </c>
      <c r="Q61" t="s">
        <v>56</v>
      </c>
      <c r="R61" t="s">
        <v>94</v>
      </c>
      <c r="T61" t="s">
        <v>71</v>
      </c>
      <c r="U61" s="13">
        <v>4</v>
      </c>
      <c r="V61" s="13">
        <v>0</v>
      </c>
      <c r="W61" s="13">
        <v>4</v>
      </c>
      <c r="X61" s="13">
        <v>0</v>
      </c>
      <c r="Y61">
        <v>12</v>
      </c>
      <c r="Z61">
        <f t="shared" si="3"/>
        <v>8</v>
      </c>
    </row>
    <row r="62" spans="1:26" x14ac:dyDescent="0.25">
      <c r="A62">
        <v>61</v>
      </c>
      <c r="B62" s="13" t="s">
        <v>121</v>
      </c>
      <c r="C62" t="s">
        <v>89</v>
      </c>
      <c r="D62" t="s">
        <v>122</v>
      </c>
      <c r="E62" s="13" t="s">
        <v>53</v>
      </c>
      <c r="F62" t="s">
        <v>106</v>
      </c>
      <c r="G62">
        <v>3</v>
      </c>
      <c r="H62">
        <v>2</v>
      </c>
      <c r="I62" s="4">
        <f t="shared" si="0"/>
        <v>4</v>
      </c>
      <c r="J62" s="4">
        <v>0.05</v>
      </c>
      <c r="K62" t="s">
        <v>107</v>
      </c>
      <c r="L62" s="5">
        <v>45670</v>
      </c>
      <c r="M62">
        <v>1</v>
      </c>
      <c r="N62" t="str">
        <f t="shared" si="1"/>
        <v>2025</v>
      </c>
      <c r="O62" t="str">
        <f t="shared" si="2"/>
        <v>Jan</v>
      </c>
      <c r="P62">
        <v>3</v>
      </c>
      <c r="Q62" t="s">
        <v>63</v>
      </c>
      <c r="R62" t="s">
        <v>93</v>
      </c>
      <c r="S62" t="s">
        <v>58</v>
      </c>
      <c r="U62" s="13">
        <v>42</v>
      </c>
      <c r="V62" s="13">
        <v>13</v>
      </c>
      <c r="W62" s="13">
        <v>0</v>
      </c>
      <c r="X62" s="13">
        <v>1</v>
      </c>
      <c r="Y62">
        <v>12</v>
      </c>
      <c r="Z62">
        <f t="shared" si="3"/>
        <v>56</v>
      </c>
    </row>
    <row r="63" spans="1:26" x14ac:dyDescent="0.25">
      <c r="A63">
        <v>62</v>
      </c>
      <c r="B63" s="13" t="s">
        <v>159</v>
      </c>
      <c r="C63" t="s">
        <v>89</v>
      </c>
      <c r="D63" t="s">
        <v>160</v>
      </c>
      <c r="E63" s="13" t="s">
        <v>53</v>
      </c>
      <c r="F63" t="s">
        <v>106</v>
      </c>
      <c r="G63">
        <v>3</v>
      </c>
      <c r="H63">
        <v>2</v>
      </c>
      <c r="I63" s="4">
        <f t="shared" si="0"/>
        <v>4</v>
      </c>
      <c r="J63" s="4">
        <v>0.05</v>
      </c>
      <c r="K63" t="s">
        <v>107</v>
      </c>
      <c r="L63" s="5">
        <v>45797</v>
      </c>
      <c r="M63">
        <v>2</v>
      </c>
      <c r="N63" t="str">
        <f t="shared" si="1"/>
        <v>2025</v>
      </c>
      <c r="O63" t="str">
        <f t="shared" si="2"/>
        <v>May</v>
      </c>
      <c r="P63">
        <v>3</v>
      </c>
      <c r="Q63" t="s">
        <v>63</v>
      </c>
      <c r="R63" t="s">
        <v>93</v>
      </c>
      <c r="S63" t="s">
        <v>58</v>
      </c>
      <c r="U63" s="13">
        <v>5</v>
      </c>
      <c r="V63" s="13">
        <v>1</v>
      </c>
      <c r="W63" s="13">
        <v>1</v>
      </c>
      <c r="X63" s="13">
        <v>1</v>
      </c>
      <c r="Y63">
        <v>12</v>
      </c>
      <c r="Z63">
        <f t="shared" si="3"/>
        <v>8</v>
      </c>
    </row>
    <row r="64" spans="1:26" x14ac:dyDescent="0.25">
      <c r="A64">
        <v>63</v>
      </c>
      <c r="B64" s="13" t="s">
        <v>161</v>
      </c>
      <c r="C64" t="s">
        <v>89</v>
      </c>
      <c r="D64" t="s">
        <v>162</v>
      </c>
      <c r="E64" s="13" t="s">
        <v>53</v>
      </c>
      <c r="F64" t="s">
        <v>106</v>
      </c>
      <c r="G64">
        <v>3</v>
      </c>
      <c r="H64">
        <v>2</v>
      </c>
      <c r="I64" s="4">
        <f t="shared" si="0"/>
        <v>4</v>
      </c>
      <c r="J64" s="4">
        <v>0.05</v>
      </c>
      <c r="K64" t="s">
        <v>107</v>
      </c>
      <c r="L64" s="5">
        <v>45920</v>
      </c>
      <c r="M64">
        <v>3</v>
      </c>
      <c r="N64" t="str">
        <f t="shared" si="1"/>
        <v>2025</v>
      </c>
      <c r="O64" t="str">
        <f t="shared" si="2"/>
        <v>Sep</v>
      </c>
      <c r="P64">
        <v>3</v>
      </c>
      <c r="Q64" t="s">
        <v>63</v>
      </c>
      <c r="R64" t="s">
        <v>93</v>
      </c>
      <c r="S64" t="s">
        <v>58</v>
      </c>
      <c r="U64" s="13">
        <v>4</v>
      </c>
      <c r="V64" s="13">
        <v>0</v>
      </c>
      <c r="W64" s="13">
        <v>4</v>
      </c>
      <c r="X64" s="13">
        <v>0</v>
      </c>
      <c r="Y64">
        <v>12</v>
      </c>
      <c r="Z64">
        <f t="shared" si="3"/>
        <v>8</v>
      </c>
    </row>
    <row r="65" spans="1:26" x14ac:dyDescent="0.25">
      <c r="A65">
        <v>64</v>
      </c>
      <c r="B65" s="13" t="s">
        <v>197</v>
      </c>
      <c r="C65" t="s">
        <v>89</v>
      </c>
      <c r="D65" t="s">
        <v>198</v>
      </c>
      <c r="E65" s="13" t="s">
        <v>53</v>
      </c>
      <c r="F65" t="s">
        <v>108</v>
      </c>
      <c r="G65">
        <v>3</v>
      </c>
      <c r="H65">
        <v>2</v>
      </c>
      <c r="I65" s="4">
        <f t="shared" si="0"/>
        <v>4</v>
      </c>
      <c r="J65" s="4">
        <v>0.05</v>
      </c>
      <c r="K65" t="s">
        <v>107</v>
      </c>
      <c r="L65" s="5">
        <v>45674</v>
      </c>
      <c r="M65">
        <v>1</v>
      </c>
      <c r="N65" t="str">
        <f t="shared" si="1"/>
        <v>2025</v>
      </c>
      <c r="O65" t="str">
        <f t="shared" si="2"/>
        <v>Jan</v>
      </c>
      <c r="P65">
        <v>3</v>
      </c>
      <c r="Q65" t="s">
        <v>63</v>
      </c>
      <c r="R65" t="s">
        <v>93</v>
      </c>
      <c r="S65" t="s">
        <v>58</v>
      </c>
      <c r="T65" t="s">
        <v>109</v>
      </c>
      <c r="U65" s="13">
        <v>8</v>
      </c>
      <c r="V65" s="13">
        <v>1</v>
      </c>
      <c r="W65" s="13">
        <v>1</v>
      </c>
      <c r="X65" s="13">
        <v>1</v>
      </c>
      <c r="Y65">
        <v>12</v>
      </c>
      <c r="Z65">
        <f t="shared" si="3"/>
        <v>11</v>
      </c>
    </row>
    <row r="66" spans="1:26" x14ac:dyDescent="0.25">
      <c r="A66">
        <v>65</v>
      </c>
      <c r="B66" s="13" t="s">
        <v>144</v>
      </c>
      <c r="C66" t="s">
        <v>89</v>
      </c>
      <c r="D66" t="s">
        <v>145</v>
      </c>
      <c r="E66" s="13" t="s">
        <v>53</v>
      </c>
      <c r="F66" t="s">
        <v>108</v>
      </c>
      <c r="G66">
        <v>3</v>
      </c>
      <c r="H66">
        <v>2</v>
      </c>
      <c r="I66" s="4">
        <f t="shared" ref="I66:I72" si="4">Y66/G66</f>
        <v>4</v>
      </c>
      <c r="J66" s="4">
        <v>0.05</v>
      </c>
      <c r="K66" t="s">
        <v>107</v>
      </c>
      <c r="L66" s="5">
        <v>45785</v>
      </c>
      <c r="M66">
        <v>2</v>
      </c>
      <c r="N66" t="str">
        <f t="shared" ref="N66:N72" si="5">TEXT(L66,"YYYY")</f>
        <v>2025</v>
      </c>
      <c r="O66" t="str">
        <f t="shared" ref="O66:O72" si="6">TEXT(L66,"MMM")</f>
        <v>May</v>
      </c>
      <c r="P66">
        <v>3</v>
      </c>
      <c r="Q66" t="s">
        <v>63</v>
      </c>
      <c r="R66" t="s">
        <v>93</v>
      </c>
      <c r="S66" t="s">
        <v>58</v>
      </c>
      <c r="T66" t="s">
        <v>109</v>
      </c>
      <c r="U66" s="13">
        <v>4</v>
      </c>
      <c r="V66" s="13">
        <v>0</v>
      </c>
      <c r="W66" s="13">
        <v>4</v>
      </c>
      <c r="X66" s="13">
        <v>0</v>
      </c>
      <c r="Y66">
        <v>12</v>
      </c>
      <c r="Z66">
        <f t="shared" ref="Z66:Z73" si="7">SUM(U66:X66)</f>
        <v>8</v>
      </c>
    </row>
    <row r="67" spans="1:26" x14ac:dyDescent="0.25">
      <c r="A67">
        <v>66</v>
      </c>
      <c r="B67" s="13" t="s">
        <v>181</v>
      </c>
      <c r="C67" t="s">
        <v>89</v>
      </c>
      <c r="D67" t="s">
        <v>182</v>
      </c>
      <c r="E67" s="13" t="s">
        <v>53</v>
      </c>
      <c r="F67" t="s">
        <v>108</v>
      </c>
      <c r="G67">
        <v>3</v>
      </c>
      <c r="H67">
        <v>2</v>
      </c>
      <c r="I67" s="4">
        <f t="shared" si="4"/>
        <v>4</v>
      </c>
      <c r="J67" s="4">
        <v>0.05</v>
      </c>
      <c r="K67" t="s">
        <v>107</v>
      </c>
      <c r="L67" s="5">
        <v>45874</v>
      </c>
      <c r="M67">
        <v>3</v>
      </c>
      <c r="N67" t="str">
        <f t="shared" si="5"/>
        <v>2025</v>
      </c>
      <c r="O67" t="str">
        <f t="shared" si="6"/>
        <v>Aug</v>
      </c>
      <c r="P67">
        <v>3</v>
      </c>
      <c r="Q67" t="s">
        <v>63</v>
      </c>
      <c r="R67" t="s">
        <v>93</v>
      </c>
      <c r="S67" t="s">
        <v>58</v>
      </c>
      <c r="T67" t="s">
        <v>109</v>
      </c>
      <c r="U67" s="13">
        <v>4</v>
      </c>
      <c r="V67" s="13">
        <v>0</v>
      </c>
      <c r="W67" s="13">
        <v>4</v>
      </c>
      <c r="X67" s="13">
        <v>0</v>
      </c>
      <c r="Y67">
        <v>12</v>
      </c>
      <c r="Z67">
        <f t="shared" si="7"/>
        <v>8</v>
      </c>
    </row>
    <row r="68" spans="1:26" x14ac:dyDescent="0.25">
      <c r="A68">
        <v>67</v>
      </c>
      <c r="B68" s="13" t="s">
        <v>221</v>
      </c>
      <c r="C68" t="s">
        <v>89</v>
      </c>
      <c r="D68" t="s">
        <v>222</v>
      </c>
      <c r="E68" s="13" t="s">
        <v>53</v>
      </c>
      <c r="F68" t="s">
        <v>110</v>
      </c>
      <c r="G68">
        <v>3</v>
      </c>
      <c r="H68">
        <v>9</v>
      </c>
      <c r="I68" s="4">
        <f t="shared" si="4"/>
        <v>4</v>
      </c>
      <c r="J68" s="4">
        <v>0.05</v>
      </c>
      <c r="K68" t="s">
        <v>62</v>
      </c>
      <c r="L68" s="5">
        <v>45733</v>
      </c>
      <c r="M68">
        <v>1</v>
      </c>
      <c r="N68" t="str">
        <f t="shared" si="5"/>
        <v>2025</v>
      </c>
      <c r="O68" t="str">
        <f t="shared" si="6"/>
        <v>Mar</v>
      </c>
      <c r="P68">
        <v>3</v>
      </c>
      <c r="Q68" t="s">
        <v>63</v>
      </c>
      <c r="R68" t="s">
        <v>93</v>
      </c>
      <c r="S68" t="s">
        <v>58</v>
      </c>
      <c r="U68" s="13">
        <v>2</v>
      </c>
      <c r="V68" s="13">
        <v>1</v>
      </c>
      <c r="W68" s="13">
        <v>0</v>
      </c>
      <c r="X68" s="13">
        <v>0</v>
      </c>
      <c r="Y68">
        <v>12</v>
      </c>
      <c r="Z68">
        <f t="shared" si="7"/>
        <v>3</v>
      </c>
    </row>
    <row r="69" spans="1:26" x14ac:dyDescent="0.25">
      <c r="A69">
        <v>68</v>
      </c>
      <c r="B69" s="13" t="s">
        <v>163</v>
      </c>
      <c r="C69" t="s">
        <v>89</v>
      </c>
      <c r="D69" t="s">
        <v>164</v>
      </c>
      <c r="E69" s="13" t="s">
        <v>53</v>
      </c>
      <c r="F69" t="s">
        <v>110</v>
      </c>
      <c r="G69">
        <v>3</v>
      </c>
      <c r="H69">
        <v>9</v>
      </c>
      <c r="I69" s="4">
        <f t="shared" si="4"/>
        <v>4</v>
      </c>
      <c r="J69" s="4">
        <v>0.05</v>
      </c>
      <c r="K69" t="s">
        <v>62</v>
      </c>
      <c r="L69" s="5">
        <v>45814</v>
      </c>
      <c r="M69">
        <v>2</v>
      </c>
      <c r="N69" t="str">
        <f t="shared" si="5"/>
        <v>2025</v>
      </c>
      <c r="O69" t="str">
        <f t="shared" si="6"/>
        <v>Jun</v>
      </c>
      <c r="P69">
        <v>3</v>
      </c>
      <c r="Q69" t="s">
        <v>63</v>
      </c>
      <c r="R69" t="s">
        <v>93</v>
      </c>
      <c r="S69" t="s">
        <v>58</v>
      </c>
      <c r="U69" s="13">
        <v>9</v>
      </c>
      <c r="V69" s="13">
        <v>0</v>
      </c>
      <c r="W69" s="13">
        <v>9</v>
      </c>
      <c r="X69" s="13">
        <v>0</v>
      </c>
      <c r="Y69">
        <v>12</v>
      </c>
      <c r="Z69">
        <f t="shared" si="7"/>
        <v>18</v>
      </c>
    </row>
    <row r="70" spans="1:26" x14ac:dyDescent="0.25">
      <c r="A70">
        <v>69</v>
      </c>
      <c r="B70" s="13" t="s">
        <v>167</v>
      </c>
      <c r="C70" t="s">
        <v>89</v>
      </c>
      <c r="D70" t="s">
        <v>168</v>
      </c>
      <c r="E70" s="13" t="s">
        <v>53</v>
      </c>
      <c r="F70" t="s">
        <v>110</v>
      </c>
      <c r="G70">
        <v>3</v>
      </c>
      <c r="H70">
        <v>9</v>
      </c>
      <c r="I70" s="4">
        <f t="shared" si="4"/>
        <v>4</v>
      </c>
      <c r="J70" s="4">
        <v>0.05</v>
      </c>
      <c r="K70" t="s">
        <v>62</v>
      </c>
      <c r="L70" s="5">
        <v>45967</v>
      </c>
      <c r="M70">
        <v>3</v>
      </c>
      <c r="N70" t="str">
        <f t="shared" si="5"/>
        <v>2025</v>
      </c>
      <c r="O70" t="str">
        <f t="shared" si="6"/>
        <v>Nov</v>
      </c>
      <c r="P70">
        <v>3</v>
      </c>
      <c r="Q70" t="s">
        <v>63</v>
      </c>
      <c r="R70" t="s">
        <v>93</v>
      </c>
      <c r="S70" t="s">
        <v>58</v>
      </c>
      <c r="U70" s="13">
        <v>4</v>
      </c>
      <c r="V70" s="13">
        <v>1</v>
      </c>
      <c r="W70" s="13">
        <v>1</v>
      </c>
      <c r="X70" s="13">
        <v>1</v>
      </c>
      <c r="Y70">
        <v>12</v>
      </c>
      <c r="Z70">
        <f t="shared" si="7"/>
        <v>7</v>
      </c>
    </row>
    <row r="71" spans="1:26" x14ac:dyDescent="0.25">
      <c r="A71">
        <v>70</v>
      </c>
      <c r="B71" s="13" t="s">
        <v>305</v>
      </c>
      <c r="C71" t="s">
        <v>89</v>
      </c>
      <c r="D71" t="s">
        <v>201</v>
      </c>
      <c r="E71" s="13" t="s">
        <v>53</v>
      </c>
      <c r="F71" t="s">
        <v>111</v>
      </c>
      <c r="G71">
        <v>3</v>
      </c>
      <c r="H71">
        <v>3</v>
      </c>
      <c r="I71" s="4">
        <f t="shared" si="4"/>
        <v>4</v>
      </c>
      <c r="J71" s="4">
        <v>0.05</v>
      </c>
      <c r="K71" t="s">
        <v>55</v>
      </c>
      <c r="L71" s="5">
        <v>45695</v>
      </c>
      <c r="M71">
        <v>1</v>
      </c>
      <c r="N71" t="str">
        <f t="shared" si="5"/>
        <v>2025</v>
      </c>
      <c r="O71" t="str">
        <f t="shared" si="6"/>
        <v>Feb</v>
      </c>
      <c r="P71">
        <v>3</v>
      </c>
      <c r="Q71" t="s">
        <v>56</v>
      </c>
      <c r="R71" t="s">
        <v>93</v>
      </c>
      <c r="S71" t="s">
        <v>58</v>
      </c>
      <c r="T71" t="s">
        <v>71</v>
      </c>
      <c r="U71" s="13">
        <v>22</v>
      </c>
      <c r="V71" s="13">
        <v>3</v>
      </c>
      <c r="W71" s="13">
        <v>4</v>
      </c>
      <c r="X71" s="13">
        <v>0</v>
      </c>
      <c r="Y71">
        <v>12</v>
      </c>
      <c r="Z71">
        <f t="shared" si="7"/>
        <v>29</v>
      </c>
    </row>
    <row r="72" spans="1:26" x14ac:dyDescent="0.25">
      <c r="A72">
        <v>71</v>
      </c>
      <c r="B72" s="13" t="s">
        <v>306</v>
      </c>
      <c r="C72" t="s">
        <v>89</v>
      </c>
      <c r="D72" t="s">
        <v>131</v>
      </c>
      <c r="E72" s="13" t="s">
        <v>53</v>
      </c>
      <c r="F72" t="s">
        <v>111</v>
      </c>
      <c r="G72">
        <v>3</v>
      </c>
      <c r="H72">
        <v>3</v>
      </c>
      <c r="I72" s="4">
        <f t="shared" si="4"/>
        <v>4</v>
      </c>
      <c r="J72" s="4">
        <v>0.05</v>
      </c>
      <c r="K72" t="s">
        <v>55</v>
      </c>
      <c r="L72" s="5">
        <v>45870</v>
      </c>
      <c r="M72">
        <v>2</v>
      </c>
      <c r="N72" t="str">
        <f t="shared" si="5"/>
        <v>2025</v>
      </c>
      <c r="O72" t="str">
        <f t="shared" si="6"/>
        <v>Aug</v>
      </c>
      <c r="P72">
        <v>3</v>
      </c>
      <c r="Q72" t="s">
        <v>56</v>
      </c>
      <c r="R72" t="s">
        <v>93</v>
      </c>
      <c r="S72" t="s">
        <v>58</v>
      </c>
      <c r="T72" t="s">
        <v>71</v>
      </c>
      <c r="U72" s="13">
        <v>5</v>
      </c>
      <c r="V72" s="13">
        <v>1</v>
      </c>
      <c r="W72" s="13">
        <v>1</v>
      </c>
      <c r="X72" s="13">
        <v>1</v>
      </c>
      <c r="Y72">
        <v>12</v>
      </c>
      <c r="Z72">
        <f t="shared" si="7"/>
        <v>8</v>
      </c>
    </row>
    <row r="73" spans="1:26" x14ac:dyDescent="0.25">
      <c r="A73">
        <v>72</v>
      </c>
      <c r="B73" t="s">
        <v>337</v>
      </c>
      <c r="C73" t="s">
        <v>51</v>
      </c>
      <c r="D73" t="s">
        <v>338</v>
      </c>
      <c r="E73" t="s">
        <v>114</v>
      </c>
      <c r="F73" s="5">
        <v>46272</v>
      </c>
      <c r="G73">
        <v>2</v>
      </c>
      <c r="H73">
        <v>24</v>
      </c>
      <c r="I73" s="4">
        <v>12</v>
      </c>
      <c r="J73" s="4">
        <v>12</v>
      </c>
      <c r="K73" t="s">
        <v>100</v>
      </c>
      <c r="L73" s="5">
        <v>46082</v>
      </c>
      <c r="M73">
        <v>2</v>
      </c>
      <c r="N73">
        <v>2026</v>
      </c>
      <c r="O73" t="s">
        <v>339</v>
      </c>
      <c r="P73">
        <v>2</v>
      </c>
      <c r="Q73" t="s">
        <v>63</v>
      </c>
      <c r="R73" t="s">
        <v>94</v>
      </c>
      <c r="S73" t="s">
        <v>58</v>
      </c>
      <c r="T73" t="s">
        <v>340</v>
      </c>
      <c r="U73">
        <v>151</v>
      </c>
      <c r="V73" s="23">
        <v>0</v>
      </c>
      <c r="W73">
        <v>151</v>
      </c>
      <c r="X73" s="23">
        <v>0</v>
      </c>
      <c r="Y73">
        <v>12</v>
      </c>
      <c r="Z73">
        <f>SUM(U73:Y73)</f>
        <v>314</v>
      </c>
    </row>
  </sheetData>
  <autoFilter ref="A1:Z72" xr:uid="{00000000-0009-0000-0000-000000000000}">
    <filterColumn colId="2">
      <filters>
        <filter val="Siva V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6"/>
  <sheetViews>
    <sheetView workbookViewId="0">
      <selection activeCell="B21" sqref="B21"/>
    </sheetView>
  </sheetViews>
  <sheetFormatPr defaultRowHeight="15" x14ac:dyDescent="0.25"/>
  <cols>
    <col min="2" max="2" width="18.5703125" bestFit="1" customWidth="1"/>
    <col min="3" max="3" width="17.42578125" bestFit="1" customWidth="1"/>
    <col min="5" max="5" width="12" customWidth="1"/>
    <col min="6" max="6" width="12.42578125" customWidth="1"/>
    <col min="7" max="7" width="11.140625" style="7" bestFit="1" customWidth="1"/>
    <col min="8" max="8" width="14.7109375" customWidth="1"/>
    <col min="9" max="9" width="18.42578125" bestFit="1" customWidth="1"/>
    <col min="10" max="10" width="9.85546875" customWidth="1"/>
  </cols>
  <sheetData>
    <row r="1" spans="2:10" x14ac:dyDescent="0.25"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s="7" t="s">
        <v>246</v>
      </c>
      <c r="H1" t="s">
        <v>247</v>
      </c>
      <c r="I1" s="7" t="s">
        <v>26</v>
      </c>
      <c r="J1" t="s">
        <v>248</v>
      </c>
    </row>
    <row r="2" spans="2:10" x14ac:dyDescent="0.25">
      <c r="B2" t="s">
        <v>249</v>
      </c>
      <c r="C2" t="s">
        <v>310</v>
      </c>
      <c r="D2" t="s">
        <v>250</v>
      </c>
      <c r="E2" t="s">
        <v>251</v>
      </c>
      <c r="F2" t="s">
        <v>251</v>
      </c>
      <c r="G2" s="7" t="s">
        <v>252</v>
      </c>
      <c r="I2" s="7" t="s">
        <v>79</v>
      </c>
    </row>
    <row r="3" spans="2:10" x14ac:dyDescent="0.25">
      <c r="B3" t="s">
        <v>22</v>
      </c>
      <c r="C3" t="s">
        <v>310</v>
      </c>
      <c r="D3" t="s">
        <v>253</v>
      </c>
      <c r="E3" t="s">
        <v>254</v>
      </c>
      <c r="F3" t="s">
        <v>255</v>
      </c>
      <c r="G3" s="7" t="s">
        <v>252</v>
      </c>
      <c r="I3" s="7" t="s">
        <v>79</v>
      </c>
    </row>
    <row r="4" spans="2:10" x14ac:dyDescent="0.25">
      <c r="B4" t="s">
        <v>13</v>
      </c>
      <c r="C4" t="s">
        <v>311</v>
      </c>
      <c r="D4" t="s">
        <v>250</v>
      </c>
      <c r="E4" t="s">
        <v>251</v>
      </c>
      <c r="F4" t="s">
        <v>251</v>
      </c>
      <c r="G4" s="7" t="s">
        <v>252</v>
      </c>
      <c r="I4" s="7" t="s">
        <v>51</v>
      </c>
    </row>
    <row r="5" spans="2:10" x14ac:dyDescent="0.25">
      <c r="B5" t="s">
        <v>14</v>
      </c>
      <c r="C5" t="s">
        <v>311</v>
      </c>
      <c r="D5" t="s">
        <v>250</v>
      </c>
      <c r="E5" t="s">
        <v>251</v>
      </c>
      <c r="F5" t="s">
        <v>251</v>
      </c>
      <c r="G5" s="7" t="s">
        <v>252</v>
      </c>
      <c r="I5" s="7" t="s">
        <v>51</v>
      </c>
    </row>
    <row r="6" spans="2:10" x14ac:dyDescent="0.25">
      <c r="B6" t="s">
        <v>256</v>
      </c>
      <c r="C6" t="s">
        <v>311</v>
      </c>
      <c r="D6" t="s">
        <v>250</v>
      </c>
      <c r="E6" t="s">
        <v>255</v>
      </c>
      <c r="F6" t="s">
        <v>255</v>
      </c>
      <c r="G6" s="7" t="s">
        <v>252</v>
      </c>
      <c r="I6" s="7" t="s">
        <v>51</v>
      </c>
    </row>
    <row r="7" spans="2:10" x14ac:dyDescent="0.25">
      <c r="B7" t="s">
        <v>257</v>
      </c>
      <c r="C7" t="s">
        <v>311</v>
      </c>
      <c r="D7" t="s">
        <v>253</v>
      </c>
      <c r="E7" t="s">
        <v>254</v>
      </c>
      <c r="F7" t="s">
        <v>254</v>
      </c>
      <c r="G7" s="7" t="s">
        <v>252</v>
      </c>
      <c r="I7" s="7" t="s">
        <v>51</v>
      </c>
    </row>
    <row r="8" spans="2:10" x14ac:dyDescent="0.25">
      <c r="B8" t="s">
        <v>258</v>
      </c>
      <c r="C8" t="s">
        <v>311</v>
      </c>
      <c r="D8" t="s">
        <v>253</v>
      </c>
      <c r="E8" t="s">
        <v>255</v>
      </c>
      <c r="F8" t="s">
        <v>255</v>
      </c>
      <c r="G8" s="7" t="s">
        <v>252</v>
      </c>
      <c r="I8" s="7" t="s">
        <v>51</v>
      </c>
    </row>
    <row r="9" spans="2:10" x14ac:dyDescent="0.25">
      <c r="B9" t="s">
        <v>259</v>
      </c>
      <c r="C9" t="s">
        <v>125</v>
      </c>
      <c r="D9" t="s">
        <v>250</v>
      </c>
      <c r="E9" t="s">
        <v>251</v>
      </c>
      <c r="F9" t="s">
        <v>251</v>
      </c>
      <c r="G9" s="7" t="s">
        <v>252</v>
      </c>
      <c r="H9">
        <v>46082</v>
      </c>
      <c r="I9" s="7" t="s">
        <v>79</v>
      </c>
    </row>
    <row r="10" spans="2:10" x14ac:dyDescent="0.25">
      <c r="B10" t="s">
        <v>260</v>
      </c>
      <c r="C10" t="s">
        <v>310</v>
      </c>
      <c r="D10" t="s">
        <v>250</v>
      </c>
      <c r="E10" t="s">
        <v>251</v>
      </c>
      <c r="F10" t="s">
        <v>261</v>
      </c>
      <c r="G10" s="7" t="s">
        <v>252</v>
      </c>
      <c r="I10" s="7" t="s">
        <v>79</v>
      </c>
    </row>
    <row r="11" spans="2:10" x14ac:dyDescent="0.25">
      <c r="B11" t="s">
        <v>262</v>
      </c>
      <c r="C11" t="s">
        <v>310</v>
      </c>
      <c r="D11" t="s">
        <v>253</v>
      </c>
      <c r="E11" t="s">
        <v>251</v>
      </c>
      <c r="F11" t="s">
        <v>251</v>
      </c>
      <c r="G11" s="7" t="s">
        <v>252</v>
      </c>
      <c r="I11" s="7" t="s">
        <v>79</v>
      </c>
    </row>
    <row r="12" spans="2:10" x14ac:dyDescent="0.25">
      <c r="B12" t="s">
        <v>263</v>
      </c>
      <c r="C12" t="s">
        <v>311</v>
      </c>
      <c r="D12" t="s">
        <v>250</v>
      </c>
      <c r="E12" t="s">
        <v>255</v>
      </c>
      <c r="F12" t="s">
        <v>255</v>
      </c>
      <c r="G12" s="7" t="s">
        <v>252</v>
      </c>
      <c r="H12">
        <v>46083</v>
      </c>
      <c r="I12" s="7" t="s">
        <v>51</v>
      </c>
    </row>
    <row r="13" spans="2:10" x14ac:dyDescent="0.25">
      <c r="B13" t="s">
        <v>264</v>
      </c>
      <c r="C13" t="s">
        <v>311</v>
      </c>
      <c r="D13" t="s">
        <v>253</v>
      </c>
      <c r="E13" t="s">
        <v>251</v>
      </c>
      <c r="F13" t="s">
        <v>251</v>
      </c>
      <c r="G13" s="7" t="s">
        <v>252</v>
      </c>
      <c r="I13" s="7" t="s">
        <v>51</v>
      </c>
    </row>
    <row r="14" spans="2:10" x14ac:dyDescent="0.25">
      <c r="B14" t="s">
        <v>265</v>
      </c>
      <c r="C14" t="s">
        <v>311</v>
      </c>
      <c r="D14" t="s">
        <v>253</v>
      </c>
      <c r="E14" t="s">
        <v>261</v>
      </c>
      <c r="F14" t="s">
        <v>261</v>
      </c>
      <c r="G14" s="7" t="s">
        <v>252</v>
      </c>
      <c r="I14" s="7" t="s">
        <v>89</v>
      </c>
    </row>
    <row r="15" spans="2:10" x14ac:dyDescent="0.25">
      <c r="B15" t="s">
        <v>266</v>
      </c>
      <c r="C15" t="s">
        <v>311</v>
      </c>
      <c r="D15" t="s">
        <v>250</v>
      </c>
      <c r="E15" t="s">
        <v>254</v>
      </c>
      <c r="F15" t="s">
        <v>254</v>
      </c>
      <c r="G15" s="7" t="s">
        <v>252</v>
      </c>
      <c r="I15" s="7" t="s">
        <v>51</v>
      </c>
    </row>
    <row r="16" spans="2:10" x14ac:dyDescent="0.25">
      <c r="B16" t="s">
        <v>267</v>
      </c>
      <c r="C16" t="s">
        <v>125</v>
      </c>
      <c r="D16" t="s">
        <v>253</v>
      </c>
      <c r="E16" t="s">
        <v>261</v>
      </c>
      <c r="F16" t="s">
        <v>268</v>
      </c>
      <c r="G16" s="7" t="s">
        <v>252</v>
      </c>
      <c r="I16" s="7" t="s">
        <v>79</v>
      </c>
    </row>
    <row r="17" spans="2:10" x14ac:dyDescent="0.25">
      <c r="B17" t="s">
        <v>269</v>
      </c>
      <c r="C17" t="s">
        <v>311</v>
      </c>
      <c r="D17" t="s">
        <v>250</v>
      </c>
      <c r="E17" t="s">
        <v>254</v>
      </c>
      <c r="F17" t="s">
        <v>254</v>
      </c>
      <c r="G17" s="7" t="s">
        <v>252</v>
      </c>
      <c r="I17" s="7" t="s">
        <v>51</v>
      </c>
      <c r="J17" t="s">
        <v>270</v>
      </c>
    </row>
    <row r="18" spans="2:10" x14ac:dyDescent="0.25">
      <c r="B18" t="s">
        <v>271</v>
      </c>
      <c r="C18" t="s">
        <v>311</v>
      </c>
      <c r="D18" t="s">
        <v>250</v>
      </c>
      <c r="E18" t="s">
        <v>254</v>
      </c>
      <c r="F18" t="s">
        <v>254</v>
      </c>
      <c r="G18" s="7" t="s">
        <v>252</v>
      </c>
      <c r="I18" s="7" t="s">
        <v>89</v>
      </c>
      <c r="J18" t="s">
        <v>270</v>
      </c>
    </row>
    <row r="19" spans="2:10" x14ac:dyDescent="0.25">
      <c r="B19" t="s">
        <v>299</v>
      </c>
      <c r="C19" t="s">
        <v>311</v>
      </c>
      <c r="D19" t="s">
        <v>250</v>
      </c>
      <c r="E19" t="s">
        <v>254</v>
      </c>
      <c r="F19" t="s">
        <v>254</v>
      </c>
      <c r="G19" s="7" t="s">
        <v>252</v>
      </c>
      <c r="I19" t="s">
        <v>51</v>
      </c>
      <c r="J19" t="s">
        <v>270</v>
      </c>
    </row>
    <row r="20" spans="2:10" x14ac:dyDescent="0.25">
      <c r="B20" t="s">
        <v>298</v>
      </c>
      <c r="C20" t="s">
        <v>311</v>
      </c>
      <c r="D20" t="s">
        <v>250</v>
      </c>
      <c r="E20" t="s">
        <v>312</v>
      </c>
      <c r="F20" t="s">
        <v>255</v>
      </c>
      <c r="G20" s="7" t="s">
        <v>252</v>
      </c>
      <c r="I20" t="s">
        <v>51</v>
      </c>
      <c r="J20" t="s">
        <v>270</v>
      </c>
    </row>
    <row r="21" spans="2:10" x14ac:dyDescent="0.25">
      <c r="I21" s="7"/>
    </row>
    <row r="22" spans="2:10" x14ac:dyDescent="0.25">
      <c r="I22" s="7"/>
    </row>
    <row r="23" spans="2:10" x14ac:dyDescent="0.25">
      <c r="I23" s="7"/>
    </row>
    <row r="24" spans="2:10" x14ac:dyDescent="0.25">
      <c r="I24" s="7"/>
    </row>
    <row r="25" spans="2:10" x14ac:dyDescent="0.25">
      <c r="I25" s="7"/>
    </row>
    <row r="26" spans="2:10" x14ac:dyDescent="0.25">
      <c r="I26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tabSelected="1" topLeftCell="A28" workbookViewId="0">
      <selection activeCell="A57" sqref="A57:XFD61"/>
    </sheetView>
  </sheetViews>
  <sheetFormatPr defaultRowHeight="15" x14ac:dyDescent="0.25"/>
  <cols>
    <col min="1" max="1" width="18.5703125" style="8" customWidth="1"/>
    <col min="2" max="2" width="17.42578125" bestFit="1" customWidth="1"/>
    <col min="3" max="3" width="14.140625" customWidth="1"/>
  </cols>
  <sheetData>
    <row r="1" spans="1:3" x14ac:dyDescent="0.25">
      <c r="A1" s="8" t="s">
        <v>0</v>
      </c>
      <c r="B1" t="s">
        <v>1</v>
      </c>
      <c r="C1" t="s">
        <v>2</v>
      </c>
    </row>
    <row r="2" spans="1:3" x14ac:dyDescent="0.25">
      <c r="A2" s="8">
        <v>565069985</v>
      </c>
      <c r="B2" t="s">
        <v>3</v>
      </c>
      <c r="C2" t="s">
        <v>4</v>
      </c>
    </row>
    <row r="3" spans="1:3" x14ac:dyDescent="0.25">
      <c r="A3" s="8">
        <v>502768891</v>
      </c>
      <c r="B3" t="s">
        <v>5</v>
      </c>
      <c r="C3" t="s">
        <v>4</v>
      </c>
    </row>
    <row r="4" spans="1:3" x14ac:dyDescent="0.25">
      <c r="A4" s="8">
        <v>543384161</v>
      </c>
      <c r="B4" t="s">
        <v>6</v>
      </c>
      <c r="C4" t="s">
        <v>4</v>
      </c>
    </row>
    <row r="5" spans="1:3" x14ac:dyDescent="0.25">
      <c r="A5" s="8">
        <v>504220356</v>
      </c>
      <c r="B5" t="s">
        <v>7</v>
      </c>
      <c r="C5" t="s">
        <v>4</v>
      </c>
    </row>
    <row r="6" spans="1:3" x14ac:dyDescent="0.25">
      <c r="A6" s="8">
        <v>562218946</v>
      </c>
      <c r="B6" t="s">
        <v>8</v>
      </c>
      <c r="C6" t="s">
        <v>4</v>
      </c>
    </row>
    <row r="7" spans="1:3" x14ac:dyDescent="0.25">
      <c r="A7" s="8">
        <v>564227780</v>
      </c>
      <c r="B7" t="s">
        <v>9</v>
      </c>
      <c r="C7" t="s">
        <v>10</v>
      </c>
    </row>
    <row r="8" spans="1:3" x14ac:dyDescent="0.25">
      <c r="A8" s="8">
        <v>508802486</v>
      </c>
      <c r="B8" s="12" t="s">
        <v>265</v>
      </c>
      <c r="C8" t="s">
        <v>10</v>
      </c>
    </row>
    <row r="9" spans="1:3" x14ac:dyDescent="0.25">
      <c r="A9" s="8">
        <v>504227514</v>
      </c>
      <c r="B9" t="s">
        <v>11</v>
      </c>
      <c r="C9" t="s">
        <v>10</v>
      </c>
    </row>
    <row r="10" spans="1:3" x14ac:dyDescent="0.25">
      <c r="A10" s="8">
        <v>562218792</v>
      </c>
      <c r="B10" t="s">
        <v>12</v>
      </c>
      <c r="C10" t="s">
        <v>10</v>
      </c>
    </row>
    <row r="11" spans="1:3" x14ac:dyDescent="0.25">
      <c r="A11" s="8">
        <v>562217432</v>
      </c>
      <c r="B11" s="12" t="s">
        <v>258</v>
      </c>
      <c r="C11" t="s">
        <v>10</v>
      </c>
    </row>
    <row r="12" spans="1:3" x14ac:dyDescent="0.25">
      <c r="A12" s="8">
        <v>503371008</v>
      </c>
      <c r="B12" t="s">
        <v>13</v>
      </c>
      <c r="C12" t="s">
        <v>10</v>
      </c>
    </row>
    <row r="13" spans="1:3" x14ac:dyDescent="0.25">
      <c r="A13" s="8">
        <v>565265112</v>
      </c>
      <c r="B13" t="s">
        <v>14</v>
      </c>
      <c r="C13" t="s">
        <v>10</v>
      </c>
    </row>
    <row r="14" spans="1:3" x14ac:dyDescent="0.25">
      <c r="A14" s="8">
        <v>563799356</v>
      </c>
      <c r="B14" t="s">
        <v>15</v>
      </c>
      <c r="C14" t="s">
        <v>10</v>
      </c>
    </row>
    <row r="15" spans="1:3" x14ac:dyDescent="0.25">
      <c r="A15" s="8">
        <v>553285621</v>
      </c>
      <c r="B15" t="s">
        <v>16</v>
      </c>
      <c r="C15" t="s">
        <v>10</v>
      </c>
    </row>
    <row r="16" spans="1:3" x14ac:dyDescent="0.25">
      <c r="A16" s="8">
        <v>568325418</v>
      </c>
      <c r="B16" s="12" t="s">
        <v>264</v>
      </c>
      <c r="C16" t="s">
        <v>10</v>
      </c>
    </row>
    <row r="17" spans="1:3" x14ac:dyDescent="0.25">
      <c r="A17" s="8">
        <v>504227695</v>
      </c>
      <c r="B17" t="s">
        <v>17</v>
      </c>
      <c r="C17" t="s">
        <v>10</v>
      </c>
    </row>
    <row r="18" spans="1:3" x14ac:dyDescent="0.25">
      <c r="A18" s="8">
        <v>564740877</v>
      </c>
      <c r="B18" t="s">
        <v>18</v>
      </c>
      <c r="C18" t="s">
        <v>10</v>
      </c>
    </row>
    <row r="19" spans="1:3" x14ac:dyDescent="0.25">
      <c r="A19" s="8" t="s">
        <v>19</v>
      </c>
      <c r="B19" t="s">
        <v>20</v>
      </c>
      <c r="C19" t="s">
        <v>10</v>
      </c>
    </row>
    <row r="20" spans="1:3" x14ac:dyDescent="0.25">
      <c r="A20" s="8">
        <v>543378728</v>
      </c>
      <c r="B20" t="s">
        <v>21</v>
      </c>
      <c r="C20" t="s">
        <v>10</v>
      </c>
    </row>
    <row r="21" spans="1:3" x14ac:dyDescent="0.25">
      <c r="A21" s="8">
        <v>544923726</v>
      </c>
      <c r="B21" t="s">
        <v>22</v>
      </c>
      <c r="C21" t="s">
        <v>10</v>
      </c>
    </row>
    <row r="22" spans="1:3" x14ac:dyDescent="0.25">
      <c r="A22" s="8">
        <v>565621742</v>
      </c>
      <c r="B22" t="s">
        <v>23</v>
      </c>
      <c r="C22" t="s">
        <v>10</v>
      </c>
    </row>
    <row r="23" spans="1:3" x14ac:dyDescent="0.25">
      <c r="A23" s="8">
        <v>504221390</v>
      </c>
      <c r="B23" s="12" t="s">
        <v>262</v>
      </c>
      <c r="C23" t="s">
        <v>10</v>
      </c>
    </row>
    <row r="24" spans="1:3" x14ac:dyDescent="0.25">
      <c r="A24" s="8">
        <v>234567890</v>
      </c>
      <c r="B24" s="12" t="s">
        <v>271</v>
      </c>
      <c r="C24" t="s">
        <v>10</v>
      </c>
    </row>
    <row r="25" spans="1:3" x14ac:dyDescent="0.25">
      <c r="A25" s="8">
        <v>345678901</v>
      </c>
      <c r="B25" s="12" t="s">
        <v>296</v>
      </c>
      <c r="C25" t="s">
        <v>10</v>
      </c>
    </row>
    <row r="26" spans="1:3" x14ac:dyDescent="0.25">
      <c r="A26" s="8">
        <v>456789012</v>
      </c>
      <c r="B26" s="12" t="s">
        <v>297</v>
      </c>
      <c r="C26" t="s">
        <v>10</v>
      </c>
    </row>
    <row r="27" spans="1:3" x14ac:dyDescent="0.25">
      <c r="A27" s="8">
        <v>503285621</v>
      </c>
      <c r="B27" s="12" t="s">
        <v>316</v>
      </c>
      <c r="C27" t="s">
        <v>10</v>
      </c>
    </row>
    <row r="28" spans="1:3" x14ac:dyDescent="0.25">
      <c r="A28" s="8">
        <v>509288074</v>
      </c>
      <c r="B28" s="12" t="s">
        <v>313</v>
      </c>
      <c r="C28" t="s">
        <v>10</v>
      </c>
    </row>
    <row r="29" spans="1:3" x14ac:dyDescent="0.25">
      <c r="A29" s="8">
        <v>789012345</v>
      </c>
      <c r="B29" s="12" t="s">
        <v>266</v>
      </c>
      <c r="C29" t="s">
        <v>10</v>
      </c>
    </row>
    <row r="30" spans="1:3" x14ac:dyDescent="0.25">
      <c r="A30" s="8">
        <v>890123456</v>
      </c>
      <c r="B30" s="12" t="s">
        <v>267</v>
      </c>
      <c r="C30" t="s">
        <v>10</v>
      </c>
    </row>
    <row r="31" spans="1:3" x14ac:dyDescent="0.25">
      <c r="A31" s="14">
        <v>123456789</v>
      </c>
      <c r="B31" s="15" t="s">
        <v>314</v>
      </c>
      <c r="C31" s="16" t="s">
        <v>315</v>
      </c>
    </row>
    <row r="32" spans="1:3" x14ac:dyDescent="0.25">
      <c r="A32" s="14">
        <v>123456789</v>
      </c>
      <c r="B32" s="12" t="s">
        <v>317</v>
      </c>
      <c r="C32" s="16" t="s">
        <v>315</v>
      </c>
    </row>
    <row r="33" spans="1:3" x14ac:dyDescent="0.25">
      <c r="A33" s="14">
        <v>123456789</v>
      </c>
      <c r="B33" s="12" t="s">
        <v>318</v>
      </c>
      <c r="C33" s="16" t="s">
        <v>315</v>
      </c>
    </row>
    <row r="34" spans="1:3" x14ac:dyDescent="0.25">
      <c r="A34" s="14">
        <v>123456789</v>
      </c>
      <c r="B34" s="17" t="s">
        <v>319</v>
      </c>
      <c r="C34" s="16" t="s">
        <v>315</v>
      </c>
    </row>
    <row r="35" spans="1:3" x14ac:dyDescent="0.25">
      <c r="A35" s="14">
        <v>123456789</v>
      </c>
      <c r="B35" s="18" t="s">
        <v>320</v>
      </c>
      <c r="C35" s="16" t="s">
        <v>315</v>
      </c>
    </row>
    <row r="36" spans="1:3" x14ac:dyDescent="0.25">
      <c r="A36" s="14">
        <v>123456789</v>
      </c>
      <c r="B36" s="19" t="s">
        <v>321</v>
      </c>
      <c r="C36" s="16" t="s">
        <v>315</v>
      </c>
    </row>
    <row r="37" spans="1:3" x14ac:dyDescent="0.25">
      <c r="A37" s="14">
        <v>123456789</v>
      </c>
      <c r="B37" s="19" t="s">
        <v>322</v>
      </c>
      <c r="C37" s="16" t="s">
        <v>315</v>
      </c>
    </row>
    <row r="38" spans="1:3" x14ac:dyDescent="0.25">
      <c r="A38" s="14">
        <v>123456789</v>
      </c>
      <c r="B38" s="19" t="s">
        <v>323</v>
      </c>
      <c r="C38" s="16" t="s">
        <v>315</v>
      </c>
    </row>
    <row r="39" spans="1:3" x14ac:dyDescent="0.25">
      <c r="A39" s="14">
        <v>123456789</v>
      </c>
      <c r="B39" s="19" t="s">
        <v>324</v>
      </c>
      <c r="C39" s="16" t="s">
        <v>315</v>
      </c>
    </row>
    <row r="40" spans="1:3" x14ac:dyDescent="0.25">
      <c r="A40" s="14">
        <v>123456789</v>
      </c>
      <c r="B40" s="20" t="s">
        <v>325</v>
      </c>
      <c r="C40" s="16" t="s">
        <v>315</v>
      </c>
    </row>
    <row r="41" spans="1:3" x14ac:dyDescent="0.25">
      <c r="A41" s="14">
        <v>123456789</v>
      </c>
      <c r="B41" s="19" t="s">
        <v>326</v>
      </c>
      <c r="C41" s="16" t="s">
        <v>315</v>
      </c>
    </row>
    <row r="42" spans="1:3" x14ac:dyDescent="0.25">
      <c r="A42" s="14">
        <v>123456789</v>
      </c>
      <c r="B42" s="21" t="s">
        <v>327</v>
      </c>
      <c r="C42" s="16" t="s">
        <v>315</v>
      </c>
    </row>
    <row r="43" spans="1:3" x14ac:dyDescent="0.25">
      <c r="A43" s="14">
        <v>123456789</v>
      </c>
      <c r="B43" s="19" t="s">
        <v>257</v>
      </c>
      <c r="C43" s="16" t="s">
        <v>315</v>
      </c>
    </row>
    <row r="44" spans="1:3" x14ac:dyDescent="0.25">
      <c r="A44" s="14">
        <v>123456789</v>
      </c>
      <c r="B44" s="19" t="s">
        <v>316</v>
      </c>
      <c r="C44" s="16" t="s">
        <v>315</v>
      </c>
    </row>
    <row r="45" spans="1:3" x14ac:dyDescent="0.25">
      <c r="A45" s="14">
        <v>123456789</v>
      </c>
      <c r="B45" s="19" t="s">
        <v>314</v>
      </c>
      <c r="C45" s="16" t="s">
        <v>315</v>
      </c>
    </row>
    <row r="46" spans="1:3" x14ac:dyDescent="0.25">
      <c r="A46" s="14">
        <v>123456789</v>
      </c>
      <c r="B46" s="19" t="s">
        <v>328</v>
      </c>
      <c r="C46" s="16" t="s">
        <v>315</v>
      </c>
    </row>
    <row r="47" spans="1:3" x14ac:dyDescent="0.25">
      <c r="A47" s="14">
        <v>123456789</v>
      </c>
      <c r="B47" s="19" t="s">
        <v>329</v>
      </c>
      <c r="C47" s="16" t="s">
        <v>315</v>
      </c>
    </row>
    <row r="48" spans="1:3" x14ac:dyDescent="0.25">
      <c r="A48" s="14">
        <v>123456789</v>
      </c>
      <c r="B48" s="19" t="s">
        <v>330</v>
      </c>
      <c r="C48" s="16" t="s">
        <v>315</v>
      </c>
    </row>
    <row r="49" spans="1:3" x14ac:dyDescent="0.25">
      <c r="A49" s="14">
        <v>123456789</v>
      </c>
      <c r="B49" s="19" t="s">
        <v>331</v>
      </c>
      <c r="C49" s="16" t="s">
        <v>315</v>
      </c>
    </row>
    <row r="50" spans="1:3" x14ac:dyDescent="0.25">
      <c r="A50" s="14">
        <v>123456789</v>
      </c>
      <c r="B50" s="19" t="s">
        <v>332</v>
      </c>
      <c r="C50" s="16" t="s">
        <v>315</v>
      </c>
    </row>
    <row r="51" spans="1:3" x14ac:dyDescent="0.25">
      <c r="A51" s="14">
        <v>123456789</v>
      </c>
      <c r="B51" s="21" t="s">
        <v>271</v>
      </c>
      <c r="C51" s="16" t="s">
        <v>315</v>
      </c>
    </row>
    <row r="52" spans="1:3" x14ac:dyDescent="0.25">
      <c r="A52" s="14">
        <v>123456789</v>
      </c>
      <c r="B52" s="18" t="s">
        <v>333</v>
      </c>
      <c r="C52" s="16" t="s">
        <v>315</v>
      </c>
    </row>
    <row r="53" spans="1:3" x14ac:dyDescent="0.25">
      <c r="A53" s="14">
        <v>123456789</v>
      </c>
      <c r="B53" s="22" t="s">
        <v>334</v>
      </c>
      <c r="C53" s="16" t="s">
        <v>315</v>
      </c>
    </row>
    <row r="54" spans="1:3" x14ac:dyDescent="0.25">
      <c r="A54" s="14">
        <v>123456789</v>
      </c>
      <c r="B54" s="18" t="s">
        <v>335</v>
      </c>
      <c r="C54" s="16" t="s">
        <v>315</v>
      </c>
    </row>
    <row r="55" spans="1:3" x14ac:dyDescent="0.25">
      <c r="A55" s="14">
        <v>123456789</v>
      </c>
      <c r="B55" s="18" t="s">
        <v>20</v>
      </c>
      <c r="C55" s="16" t="s">
        <v>315</v>
      </c>
    </row>
    <row r="56" spans="1:3" x14ac:dyDescent="0.25">
      <c r="A56" s="14">
        <v>123456789</v>
      </c>
      <c r="B56" s="18" t="s">
        <v>336</v>
      </c>
      <c r="C56" s="16" t="s">
        <v>315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"/>
  <sheetViews>
    <sheetView workbookViewId="0"/>
  </sheetViews>
  <sheetFormatPr defaultRowHeight="15" x14ac:dyDescent="0.25"/>
  <sheetData>
    <row r="1" spans="1:19" x14ac:dyDescent="0.25">
      <c r="A1" s="11" t="s">
        <v>272</v>
      </c>
      <c r="B1" s="11" t="s">
        <v>26</v>
      </c>
      <c r="C1" s="11" t="s">
        <v>27</v>
      </c>
      <c r="D1" s="11" t="s">
        <v>273</v>
      </c>
      <c r="E1" s="11" t="s">
        <v>28</v>
      </c>
      <c r="F1" s="11" t="s">
        <v>36</v>
      </c>
      <c r="G1" s="11" t="s">
        <v>35</v>
      </c>
      <c r="H1" s="11" t="s">
        <v>274</v>
      </c>
      <c r="I1" s="11" t="s">
        <v>275</v>
      </c>
      <c r="J1" s="11" t="s">
        <v>276</v>
      </c>
      <c r="K1" s="11" t="s">
        <v>277</v>
      </c>
      <c r="L1" s="11" t="s">
        <v>278</v>
      </c>
      <c r="M1" s="11" t="s">
        <v>279</v>
      </c>
      <c r="N1" s="11" t="s">
        <v>280</v>
      </c>
      <c r="O1" s="11" t="s">
        <v>281</v>
      </c>
      <c r="P1" s="11" t="s">
        <v>282</v>
      </c>
      <c r="Q1" s="11" t="s">
        <v>283</v>
      </c>
      <c r="R1" s="11" t="s">
        <v>284</v>
      </c>
      <c r="S1" s="11" t="s">
        <v>285</v>
      </c>
    </row>
    <row r="2" spans="1:19" x14ac:dyDescent="0.25">
      <c r="A2" s="10">
        <v>46078</v>
      </c>
      <c r="B2" t="s">
        <v>51</v>
      </c>
      <c r="C2" t="s">
        <v>52</v>
      </c>
      <c r="D2" t="s">
        <v>50</v>
      </c>
      <c r="E2" t="s">
        <v>53</v>
      </c>
      <c r="F2">
        <v>1</v>
      </c>
      <c r="G2" t="s">
        <v>286</v>
      </c>
      <c r="H2">
        <v>3</v>
      </c>
      <c r="I2">
        <v>2</v>
      </c>
      <c r="J2">
        <v>2</v>
      </c>
      <c r="K2">
        <v>2</v>
      </c>
      <c r="R2">
        <v>565069985</v>
      </c>
      <c r="S2" t="s">
        <v>287</v>
      </c>
    </row>
    <row r="3" spans="1:19" x14ac:dyDescent="0.25">
      <c r="A3" s="10">
        <v>46078</v>
      </c>
      <c r="B3" t="s">
        <v>51</v>
      </c>
      <c r="C3" t="s">
        <v>52</v>
      </c>
      <c r="D3" t="s">
        <v>50</v>
      </c>
      <c r="E3" t="s">
        <v>53</v>
      </c>
      <c r="F3">
        <v>1</v>
      </c>
      <c r="G3" t="s">
        <v>286</v>
      </c>
      <c r="H3">
        <v>0</v>
      </c>
      <c r="I3">
        <v>0</v>
      </c>
      <c r="J3">
        <v>0</v>
      </c>
      <c r="K3">
        <v>0</v>
      </c>
      <c r="L3" t="s">
        <v>249</v>
      </c>
      <c r="O3" t="s">
        <v>22</v>
      </c>
      <c r="R3">
        <v>565069985</v>
      </c>
      <c r="S3" t="s">
        <v>288</v>
      </c>
    </row>
    <row r="4" spans="1:19" x14ac:dyDescent="0.25">
      <c r="A4" s="10">
        <v>46078</v>
      </c>
      <c r="B4" t="s">
        <v>89</v>
      </c>
      <c r="C4" t="s">
        <v>90</v>
      </c>
      <c r="D4" t="s">
        <v>88</v>
      </c>
      <c r="E4" t="s">
        <v>53</v>
      </c>
      <c r="F4">
        <v>2</v>
      </c>
      <c r="G4" t="s">
        <v>289</v>
      </c>
      <c r="H4">
        <v>2</v>
      </c>
      <c r="I4">
        <v>2</v>
      </c>
      <c r="J4">
        <v>0</v>
      </c>
      <c r="K4">
        <v>4</v>
      </c>
      <c r="R4">
        <v>564227780</v>
      </c>
      <c r="S4" t="s">
        <v>290</v>
      </c>
    </row>
    <row r="5" spans="1:19" x14ac:dyDescent="0.25">
      <c r="A5" s="10">
        <v>46078</v>
      </c>
      <c r="B5" t="s">
        <v>89</v>
      </c>
      <c r="C5" t="s">
        <v>90</v>
      </c>
      <c r="D5" t="s">
        <v>88</v>
      </c>
      <c r="E5" t="s">
        <v>53</v>
      </c>
      <c r="F5">
        <v>2</v>
      </c>
      <c r="G5" t="s">
        <v>289</v>
      </c>
      <c r="H5">
        <v>0</v>
      </c>
      <c r="I5">
        <v>0</v>
      </c>
      <c r="J5">
        <v>0</v>
      </c>
      <c r="K5">
        <v>0</v>
      </c>
      <c r="L5" t="s">
        <v>14</v>
      </c>
      <c r="O5" t="s">
        <v>249</v>
      </c>
      <c r="R5">
        <v>564227780</v>
      </c>
      <c r="S5" t="s">
        <v>291</v>
      </c>
    </row>
    <row r="6" spans="1:19" x14ac:dyDescent="0.25">
      <c r="A6" s="9">
        <v>46078</v>
      </c>
      <c r="B6" t="s">
        <v>89</v>
      </c>
      <c r="C6" t="s">
        <v>124</v>
      </c>
      <c r="D6" t="s">
        <v>123</v>
      </c>
      <c r="E6" t="s">
        <v>53</v>
      </c>
      <c r="F6" t="s">
        <v>292</v>
      </c>
      <c r="G6" t="s">
        <v>293</v>
      </c>
      <c r="H6">
        <v>2</v>
      </c>
      <c r="I6">
        <v>2</v>
      </c>
      <c r="J6">
        <v>2</v>
      </c>
      <c r="K6">
        <v>2</v>
      </c>
      <c r="L6" t="s">
        <v>13</v>
      </c>
      <c r="O6" t="s">
        <v>271</v>
      </c>
      <c r="R6" t="s">
        <v>294</v>
      </c>
      <c r="S6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Planning Updated</vt:lpstr>
      <vt:lpstr>Team</vt:lpstr>
      <vt:lpstr>users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shaikh</dc:creator>
  <cp:lastModifiedBy>zakir shaikh</cp:lastModifiedBy>
  <dcterms:created xsi:type="dcterms:W3CDTF">2026-02-16T11:42:51Z</dcterms:created>
  <dcterms:modified xsi:type="dcterms:W3CDTF">2026-03-04T04:13:13Z</dcterms:modified>
</cp:coreProperties>
</file>